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s" state="visible" r:id="rId4"/>
    <sheet sheetId="2" name="Ingredients" state="visible" r:id="rId5"/>
  </sheets>
  <calcPr calcId="171027"/>
</workbook>
</file>

<file path=xl/sharedStrings.xml><?xml version="1.0" encoding="utf-8"?>
<sst xmlns="http://schemas.openxmlformats.org/spreadsheetml/2006/main" count="59" uniqueCount="33">
  <si>
    <t>Drink Name</t>
  </si>
  <si>
    <t>Ingredient Name</t>
  </si>
  <si>
    <t>Quantity Used</t>
  </si>
  <si>
    <t>Quantity Unit</t>
  </si>
  <si>
    <t>Cost per Unit (AUTO)</t>
  </si>
  <si>
    <t>Total Ingredient Cost</t>
  </si>
  <si>
    <t>Unit Check</t>
  </si>
  <si>
    <t>Espresso (Solo)</t>
  </si>
  <si>
    <t>Almond Milk</t>
  </si>
  <si>
    <t>ml</t>
  </si>
  <si>
    <t>Banana Bread Slice</t>
  </si>
  <si>
    <t>pcs</t>
  </si>
  <si>
    <t>Butter Croissant</t>
  </si>
  <si>
    <t>Unit</t>
  </si>
  <si>
    <t>Cost per Unit</t>
  </si>
  <si>
    <t>Caramel Syrup</t>
  </si>
  <si>
    <t>Chocolate Chip Cookie</t>
  </si>
  <si>
    <t>Chocolate Powder</t>
  </si>
  <si>
    <t>g</t>
  </si>
  <si>
    <t>Cup 12oz</t>
  </si>
  <si>
    <t>Cup 16oz</t>
  </si>
  <si>
    <t>Cup 22oz</t>
  </si>
  <si>
    <t>Espresso Beans</t>
  </si>
  <si>
    <t>Fresh Milk</t>
  </si>
  <si>
    <t>Hazelnut Syrup</t>
  </si>
  <si>
    <t>Ice</t>
  </si>
  <si>
    <t>Lid</t>
  </si>
  <si>
    <t>Matcha Powder</t>
  </si>
  <si>
    <t>Oat Milk</t>
  </si>
  <si>
    <t>Soy Milk</t>
  </si>
  <si>
    <t>Straw</t>
  </si>
  <si>
    <t>Sugar Syrup</t>
  </si>
  <si>
    <t>Vanilla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</si>
</sst>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4" width="17" customWidth="1"/>
    <col min="5" max="5" width="24" customWidth="1"/>
    <col min="6" max="6" width="25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100</v>
      </c>
      <c r="D2" t="s">
        <v>9</v>
      </c>
      <c r="E2" s="2">
        <f>IF($B2&lt;&gt;"",IFERROR(VLOOKUP($B2,Ingredients!$A$2:$C$500,3,FALSE),""),"")</f>
      </c>
      <c r="F2" s="3">
        <f>IF(AND($B2&lt;&gt;"",$C2&lt;&gt;""),IFERROR($C2*$E2,""),"")</f>
      </c>
      <c r="G2">
        <f>IF($B2&lt;&gt;"",IFERROR(IF(EXACT(LOWER($D2),LOWER(VLOOKUP($B2,Ingredients!$A$2:$C$500,2,FALSE))),"OK","CHECK UNIT"),"NOT FOUND"),"")</f>
      </c>
    </row>
    <row r="3" spans="1:7" x14ac:dyDescent="0.25">
      <c r="A3" t="s">
        <v>7</v>
      </c>
      <c r="B3" t="s">
        <v>10</v>
      </c>
      <c r="C3">
        <v>1</v>
      </c>
      <c r="D3" t="s">
        <v>11</v>
      </c>
      <c r="E3" s="2">
        <f>IF($B3&lt;&gt;"",IFERROR(VLOOKUP($B3,Ingredients!$A$2:$C$500,3,FALSE),""),"")</f>
      </c>
      <c r="F3" s="3">
        <f>IF(AND($B3&lt;&gt;"",$C3&lt;&gt;""),IFERROR($C3*$E3,""),"")</f>
      </c>
      <c r="G3">
        <f>IF($B3&lt;&gt;"",IFERROR(IF(EXACT(LOWER($D3),LOWER(VLOOKUP($B3,Ingredients!$A$2:$C$500,2,FALSE))),"OK","CHECK UNIT"),"NOT FOUND"),"")</f>
      </c>
    </row>
    <row r="4" spans="1:7" x14ac:dyDescent="0.25">
      <c r="A4" t="s">
        <v>7</v>
      </c>
      <c r="B4" t="s">
        <v>12</v>
      </c>
      <c r="C4">
        <v>1</v>
      </c>
      <c r="D4" t="s">
        <v>11</v>
      </c>
      <c r="E4" s="2">
        <f>IF($B4&lt;&gt;"",IFERROR(VLOOKUP($B4,Ingredients!$A$2:$C$500,3,FALSE),""),"")</f>
      </c>
      <c r="F4" s="3">
        <f>IF(AND($B4&lt;&gt;"",$C4&lt;&gt;""),IFERROR($C4*$E4,""),"")</f>
      </c>
      <c r="G4">
        <f>IF($B4&lt;&gt;"",IFERROR(IF(EXACT(LOWER($D4),LOWER(VLOOKUP($B4,Ingredients!$A$2:$C$500,2,FALSE))),"OK","CHECK UNIT"),"NOT FOUND"),"")</f>
      </c>
    </row>
    <row r="5" spans="5:7" x14ac:dyDescent="0.25">
      <c r="E5" s="2">
        <f>IF($B5&lt;&gt;"",IFERROR(VLOOKUP($B5,Ingredients!$A$2:$C$500,3,FALSE),""),"")</f>
      </c>
      <c r="F5" s="3">
        <f>IF(AND($B5&lt;&gt;"",$C5&lt;&gt;""),IFERROR($C5*$E5,""),"")</f>
      </c>
      <c r="G5">
        <f>IF($B5&lt;&gt;"",IFERROR(IF(EXACT(LOWER($D5),LOWER(VLOOKUP($B5,Ingredients!$A$2:$C$500,2,FALSE))),"OK","CHECK UNIT"),"NOT FOUND"),"")</f>
      </c>
    </row>
    <row r="6" spans="5:7" x14ac:dyDescent="0.25">
      <c r="E6" s="2">
        <f>IF($B6&lt;&gt;"",IFERROR(VLOOKUP($B6,Ingredients!$A$2:$C$500,3,FALSE),""),"")</f>
      </c>
      <c r="F6" s="3">
        <f>IF(AND($B6&lt;&gt;"",$C6&lt;&gt;""),IFERROR($C6*$E6,""),"")</f>
      </c>
      <c r="G6">
        <f>IF($B6&lt;&gt;"",IFERROR(IF(EXACT(LOWER($D6),LOWER(VLOOKUP($B6,Ingredients!$A$2:$C$500,2,FALSE))),"OK","CHECK UNIT"),"NOT FOUND"),"")</f>
      </c>
    </row>
    <row r="7" spans="5:7" x14ac:dyDescent="0.25">
      <c r="E7" s="2">
        <f>IF($B7&lt;&gt;"",IFERROR(VLOOKUP($B7,Ingredients!$A$2:$C$500,3,FALSE),""),"")</f>
      </c>
      <c r="F7" s="3">
        <f>IF(AND($B7&lt;&gt;"",$C7&lt;&gt;""),IFERROR($C7*$E7,""),"")</f>
      </c>
      <c r="G7">
        <f>IF($B7&lt;&gt;"",IFERROR(IF(EXACT(LOWER($D7),LOWER(VLOOKUP($B7,Ingredients!$A$2:$C$500,2,FALSE))),"OK","CHECK UNIT"),"NOT FOUND"),"")</f>
      </c>
    </row>
    <row r="8" spans="5:7" x14ac:dyDescent="0.25">
      <c r="E8" s="2">
        <f>IF($B8&lt;&gt;"",IFERROR(VLOOKUP($B8,Ingredients!$A$2:$C$500,3,FALSE),""),"")</f>
      </c>
      <c r="F8" s="3">
        <f>IF(AND($B8&lt;&gt;"",$C8&lt;&gt;""),IFERROR($C8*$E8,""),"")</f>
      </c>
      <c r="G8">
        <f>IF($B8&lt;&gt;"",IFERROR(IF(EXACT(LOWER($D8),LOWER(VLOOKUP($B8,Ingredients!$A$2:$C$500,2,FALSE))),"OK","CHECK UNIT"),"NOT FOUND"),"")</f>
      </c>
    </row>
    <row r="9" spans="5:7" x14ac:dyDescent="0.25">
      <c r="E9" s="2">
        <f>IF($B9&lt;&gt;"",IFERROR(VLOOKUP($B9,Ingredients!$A$2:$C$500,3,FALSE),""),"")</f>
      </c>
      <c r="F9" s="3">
        <f>IF(AND($B9&lt;&gt;"",$C9&lt;&gt;""),IFERROR($C9*$E9,""),"")</f>
      </c>
      <c r="G9">
        <f>IF($B9&lt;&gt;"",IFERROR(IF(EXACT(LOWER($D9),LOWER(VLOOKUP($B9,Ingredients!$A$2:$C$500,2,FALSE))),"OK","CHECK UNIT"),"NOT FOUND"),"")</f>
      </c>
    </row>
    <row r="10" spans="5:7" x14ac:dyDescent="0.25">
      <c r="E10" s="2">
        <f>IF($B10&lt;&gt;"",IFERROR(VLOOKUP($B10,Ingredients!$A$2:$C$500,3,FALSE),""),"")</f>
      </c>
      <c r="F10" s="3">
        <f>IF(AND($B10&lt;&gt;"",$C10&lt;&gt;""),IFERROR($C10*$E10,""),"")</f>
      </c>
      <c r="G10">
        <f>IF($B10&lt;&gt;"",IFERROR(IF(EXACT(LOWER($D10),LOWER(VLOOKUP($B10,Ingredients!$A$2:$C$500,2,FALSE))),"OK","CHECK UNIT"),"NOT FOUND"),"")</f>
      </c>
    </row>
    <row r="11" spans="5:7" x14ac:dyDescent="0.25">
      <c r="E11" s="2">
        <f>IF($B11&lt;&gt;"",IFERROR(VLOOKUP($B11,Ingredients!$A$2:$C$500,3,FALSE),""),"")</f>
      </c>
      <c r="F11" s="3">
        <f>IF(AND($B11&lt;&gt;"",$C11&lt;&gt;""),IFERROR($C11*$E11,""),"")</f>
      </c>
      <c r="G11">
        <f>IF($B11&lt;&gt;"",IFERROR(IF(EXACT(LOWER($D11),LOWER(VLOOKUP($B11,Ingredients!$A$2:$C$500,2,FALSE))),"OK","CHECK UNIT"),"NOT FOUND"),"")</f>
      </c>
    </row>
    <row r="12" spans="5:7" x14ac:dyDescent="0.25">
      <c r="E12" s="2">
        <f>IF($B12&lt;&gt;"",IFERROR(VLOOKUP($B12,Ingredients!$A$2:$C$500,3,FALSE),""),"")</f>
      </c>
      <c r="F12" s="3">
        <f>IF(AND($B12&lt;&gt;"",$C12&lt;&gt;""),IFERROR($C12*$E12,""),"")</f>
      </c>
      <c r="G12">
        <f>IF($B12&lt;&gt;"",IFERROR(IF(EXACT(LOWER($D12),LOWER(VLOOKUP($B12,Ingredients!$A$2:$C$500,2,FALSE))),"OK","CHECK UNIT"),"NOT FOUND"),"")</f>
      </c>
    </row>
    <row r="13" spans="5:7" x14ac:dyDescent="0.25">
      <c r="E13" s="2">
        <f>IF($B13&lt;&gt;"",IFERROR(VLOOKUP($B13,Ingredients!$A$2:$C$500,3,FALSE),""),"")</f>
      </c>
      <c r="F13" s="3">
        <f>IF(AND($B13&lt;&gt;"",$C13&lt;&gt;""),IFERROR($C13*$E13,""),"")</f>
      </c>
      <c r="G13">
        <f>IF($B13&lt;&gt;"",IFERROR(IF(EXACT(LOWER($D13),LOWER(VLOOKUP($B13,Ingredients!$A$2:$C$500,2,FALSE))),"OK","CHECK UNIT"),"NOT FOUND"),"")</f>
      </c>
    </row>
    <row r="14" spans="5:7" x14ac:dyDescent="0.25">
      <c r="E14" s="2">
        <f>IF($B14&lt;&gt;"",IFERROR(VLOOKUP($B14,Ingredients!$A$2:$C$500,3,FALSE),""),"")</f>
      </c>
      <c r="F14" s="3">
        <f>IF(AND($B14&lt;&gt;"",$C14&lt;&gt;""),IFERROR($C14*$E14,""),"")</f>
      </c>
      <c r="G14">
        <f>IF($B14&lt;&gt;"",IFERROR(IF(EXACT(LOWER($D14),LOWER(VLOOKUP($B14,Ingredients!$A$2:$C$500,2,FALSE))),"OK","CHECK UNIT"),"NOT FOUND"),"")</f>
      </c>
    </row>
    <row r="15" spans="5:7" x14ac:dyDescent="0.25">
      <c r="E15" s="2">
        <f>IF($B15&lt;&gt;"",IFERROR(VLOOKUP($B15,Ingredients!$A$2:$C$500,3,FALSE),""),"")</f>
      </c>
      <c r="F15" s="3">
        <f>IF(AND($B15&lt;&gt;"",$C15&lt;&gt;""),IFERROR($C15*$E15,""),"")</f>
      </c>
      <c r="G15">
        <f>IF($B15&lt;&gt;"",IFERROR(IF(EXACT(LOWER($D15),LOWER(VLOOKUP($B15,Ingredients!$A$2:$C$500,2,FALSE))),"OK","CHECK UNIT"),"NOT FOUND"),"")</f>
      </c>
    </row>
    <row r="16" spans="5:7" x14ac:dyDescent="0.25">
      <c r="E16" s="2">
        <f>IF($B16&lt;&gt;"",IFERROR(VLOOKUP($B16,Ingredients!$A$2:$C$500,3,FALSE),""),"")</f>
      </c>
      <c r="F16" s="3">
        <f>IF(AND($B16&lt;&gt;"",$C16&lt;&gt;""),IFERROR($C16*$E16,""),"")</f>
      </c>
      <c r="G16">
        <f>IF($B16&lt;&gt;"",IFERROR(IF(EXACT(LOWER($D16),LOWER(VLOOKUP($B16,Ingredients!$A$2:$C$500,2,FALSE))),"OK","CHECK UNIT"),"NOT FOUND"),"")</f>
      </c>
    </row>
    <row r="17" spans="5:7" x14ac:dyDescent="0.25">
      <c r="E17" s="2">
        <f>IF($B17&lt;&gt;"",IFERROR(VLOOKUP($B17,Ingredients!$A$2:$C$500,3,FALSE),""),"")</f>
      </c>
      <c r="F17" s="3">
        <f>IF(AND($B17&lt;&gt;"",$C17&lt;&gt;""),IFERROR($C17*$E17,""),"")</f>
      </c>
      <c r="G17">
        <f>IF($B17&lt;&gt;"",IFERROR(IF(EXACT(LOWER($D17),LOWER(VLOOKUP($B17,Ingredients!$A$2:$C$500,2,FALSE))),"OK","CHECK UNIT"),"NOT FOUND"),"")</f>
      </c>
    </row>
    <row r="18" spans="5:7" x14ac:dyDescent="0.25">
      <c r="E18" s="2">
        <f>IF($B18&lt;&gt;"",IFERROR(VLOOKUP($B18,Ingredients!$A$2:$C$500,3,FALSE),""),"")</f>
      </c>
      <c r="F18" s="3">
        <f>IF(AND($B18&lt;&gt;"",$C18&lt;&gt;""),IFERROR($C18*$E18,""),"")</f>
      </c>
      <c r="G18">
        <f>IF($B18&lt;&gt;"",IFERROR(IF(EXACT(LOWER($D18),LOWER(VLOOKUP($B18,Ingredients!$A$2:$C$500,2,FALSE))),"OK","CHECK UNIT"),"NOT FOUND"),"")</f>
      </c>
    </row>
    <row r="19" spans="5:7" x14ac:dyDescent="0.25">
      <c r="E19" s="2">
        <f>IF($B19&lt;&gt;"",IFERROR(VLOOKUP($B19,Ingredients!$A$2:$C$500,3,FALSE),""),"")</f>
      </c>
      <c r="F19" s="3">
        <f>IF(AND($B19&lt;&gt;"",$C19&lt;&gt;""),IFERROR($C19*$E19,""),"")</f>
      </c>
      <c r="G19">
        <f>IF($B19&lt;&gt;"",IFERROR(IF(EXACT(LOWER($D19),LOWER(VLOOKUP($B19,Ingredients!$A$2:$C$500,2,FALSE))),"OK","CHECK UNIT"),"NOT FOUND"),"")</f>
      </c>
    </row>
    <row r="20" spans="5:7" x14ac:dyDescent="0.25">
      <c r="E20" s="2">
        <f>IF($B20&lt;&gt;"",IFERROR(VLOOKUP($B20,Ingredients!$A$2:$C$500,3,FALSE),""),"")</f>
      </c>
      <c r="F20" s="3">
        <f>IF(AND($B20&lt;&gt;"",$C20&lt;&gt;""),IFERROR($C20*$E20,""),"")</f>
      </c>
      <c r="G20">
        <f>IF($B20&lt;&gt;"",IFERROR(IF(EXACT(LOWER($D20),LOWER(VLOOKUP($B20,Ingredients!$A$2:$C$500,2,FALSE))),"OK","CHECK UNIT"),"NOT FOUND"),"")</f>
      </c>
    </row>
    <row r="21" spans="5:7" x14ac:dyDescent="0.25">
      <c r="E21" s="2">
        <f>IF($B21&lt;&gt;"",IFERROR(VLOOKUP($B21,Ingredients!$A$2:$C$500,3,FALSE),""),"")</f>
      </c>
      <c r="F21" s="3">
        <f>IF(AND($B21&lt;&gt;"",$C21&lt;&gt;""),IFERROR($C21*$E21,""),"")</f>
      </c>
      <c r="G21">
        <f>IF($B21&lt;&gt;"",IFERROR(IF(EXACT(LOWER($D21),LOWER(VLOOKUP($B21,Ingredients!$A$2:$C$500,2,FALSE))),"OK","CHECK UNIT"),"NOT FOUND"),"")</f>
      </c>
    </row>
    <row r="22" spans="5:7" x14ac:dyDescent="0.25">
      <c r="E22" s="2">
        <f>IF($B22&lt;&gt;"",IFERROR(VLOOKUP($B22,Ingredients!$A$2:$C$500,3,FALSE),""),"")</f>
      </c>
      <c r="F22" s="3">
        <f>IF(AND($B22&lt;&gt;"",$C22&lt;&gt;""),IFERROR($C22*$E22,""),"")</f>
      </c>
      <c r="G22">
        <f>IF($B22&lt;&gt;"",IFERROR(IF(EXACT(LOWER($D22),LOWER(VLOOKUP($B22,Ingredients!$A$2:$C$500,2,FALSE))),"OK","CHECK UNIT"),"NOT FOUND"),"")</f>
      </c>
    </row>
    <row r="23" spans="5:7" x14ac:dyDescent="0.25">
      <c r="E23" s="2">
        <f>IF($B23&lt;&gt;"",IFERROR(VLOOKUP($B23,Ingredients!$A$2:$C$500,3,FALSE),""),"")</f>
      </c>
      <c r="F23" s="3">
        <f>IF(AND($B23&lt;&gt;"",$C23&lt;&gt;""),IFERROR($C23*$E23,""),"")</f>
      </c>
      <c r="G23">
        <f>IF($B23&lt;&gt;"",IFERROR(IF(EXACT(LOWER($D23),LOWER(VLOOKUP($B23,Ingredients!$A$2:$C$500,2,FALSE))),"OK","CHECK UNIT"),"NOT FOUND"),"")</f>
      </c>
    </row>
    <row r="24" spans="5:7" x14ac:dyDescent="0.25">
      <c r="E24" s="2">
        <f>IF($B24&lt;&gt;"",IFERROR(VLOOKUP($B24,Ingredients!$A$2:$C$500,3,FALSE),""),"")</f>
      </c>
      <c r="F24" s="3">
        <f>IF(AND($B24&lt;&gt;"",$C24&lt;&gt;""),IFERROR($C24*$E24,""),"")</f>
      </c>
      <c r="G24">
        <f>IF($B24&lt;&gt;"",IFERROR(IF(EXACT(LOWER($D24),LOWER(VLOOKUP($B24,Ingredients!$A$2:$C$500,2,FALSE))),"OK","CHECK UNIT"),"NOT FOUND"),"")</f>
      </c>
    </row>
    <row r="25" spans="5:7" x14ac:dyDescent="0.25">
      <c r="E25" s="2">
        <f>IF($B25&lt;&gt;"",IFERROR(VLOOKUP($B25,Ingredients!$A$2:$C$500,3,FALSE),""),"")</f>
      </c>
      <c r="F25" s="3">
        <f>IF(AND($B25&lt;&gt;"",$C25&lt;&gt;""),IFERROR($C25*$E25,""),"")</f>
      </c>
      <c r="G25">
        <f>IF($B25&lt;&gt;"",IFERROR(IF(EXACT(LOWER($D25),LOWER(VLOOKUP($B25,Ingredients!$A$2:$C$500,2,FALSE))),"OK","CHECK UNIT"),"NOT FOUND"),"")</f>
      </c>
    </row>
    <row r="26" spans="5:7" x14ac:dyDescent="0.25">
      <c r="E26" s="2">
        <f>IF($B26&lt;&gt;"",IFERROR(VLOOKUP($B26,Ingredients!$A$2:$C$500,3,FALSE),""),"")</f>
      </c>
      <c r="F26" s="3">
        <f>IF(AND($B26&lt;&gt;"",$C26&lt;&gt;""),IFERROR($C26*$E26,""),"")</f>
      </c>
      <c r="G26">
        <f>IF($B26&lt;&gt;"",IFERROR(IF(EXACT(LOWER($D26),LOWER(VLOOKUP($B26,Ingredients!$A$2:$C$500,2,FALSE))),"OK","CHECK UNIT"),"NOT FOUND"),"")</f>
      </c>
    </row>
    <row r="27" spans="5:7" x14ac:dyDescent="0.25">
      <c r="E27" s="2">
        <f>IF($B27&lt;&gt;"",IFERROR(VLOOKUP($B27,Ingredients!$A$2:$C$500,3,FALSE),""),"")</f>
      </c>
      <c r="F27" s="3">
        <f>IF(AND($B27&lt;&gt;"",$C27&lt;&gt;""),IFERROR($C27*$E27,""),"")</f>
      </c>
      <c r="G27">
        <f>IF($B27&lt;&gt;"",IFERROR(IF(EXACT(LOWER($D27),LOWER(VLOOKUP($B27,Ingredients!$A$2:$C$500,2,FALSE))),"OK","CHECK UNIT"),"NOT FOUND"),"")</f>
      </c>
    </row>
    <row r="28" spans="5:7" x14ac:dyDescent="0.25">
      <c r="E28" s="2">
        <f>IF($B28&lt;&gt;"",IFERROR(VLOOKUP($B28,Ingredients!$A$2:$C$500,3,FALSE),""),"")</f>
      </c>
      <c r="F28" s="3">
        <f>IF(AND($B28&lt;&gt;"",$C28&lt;&gt;""),IFERROR($C28*$E28,""),"")</f>
      </c>
      <c r="G28">
        <f>IF($B28&lt;&gt;"",IFERROR(IF(EXACT(LOWER($D28),LOWER(VLOOKUP($B28,Ingredients!$A$2:$C$500,2,FALSE))),"OK","CHECK UNIT"),"NOT FOUND"),"")</f>
      </c>
    </row>
    <row r="29" spans="5:7" x14ac:dyDescent="0.25">
      <c r="E29" s="2">
        <f>IF($B29&lt;&gt;"",IFERROR(VLOOKUP($B29,Ingredients!$A$2:$C$500,3,FALSE),""),"")</f>
      </c>
      <c r="F29" s="3">
        <f>IF(AND($B29&lt;&gt;"",$C29&lt;&gt;""),IFERROR($C29*$E29,""),"")</f>
      </c>
      <c r="G29">
        <f>IF($B29&lt;&gt;"",IFERROR(IF(EXACT(LOWER($D29),LOWER(VLOOKUP($B29,Ingredients!$A$2:$C$500,2,FALSE))),"OK","CHECK UNIT"),"NOT FOUND"),"")</f>
      </c>
    </row>
    <row r="30" spans="5:7" x14ac:dyDescent="0.25">
      <c r="E30" s="2">
        <f>IF($B30&lt;&gt;"",IFERROR(VLOOKUP($B30,Ingredients!$A$2:$C$500,3,FALSE),""),"")</f>
      </c>
      <c r="F30" s="3">
        <f>IF(AND($B30&lt;&gt;"",$C30&lt;&gt;""),IFERROR($C30*$E30,""),"")</f>
      </c>
      <c r="G30">
        <f>IF($B30&lt;&gt;"",IFERROR(IF(EXACT(LOWER($D30),LOWER(VLOOKUP($B30,Ingredients!$A$2:$C$500,2,FALSE))),"OK","CHECK UNIT"),"NOT FOUND"),"")</f>
      </c>
    </row>
    <row r="31" spans="5:7" x14ac:dyDescent="0.25">
      <c r="E31" s="2">
        <f>IF($B31&lt;&gt;"",IFERROR(VLOOKUP($B31,Ingredients!$A$2:$C$500,3,FALSE),""),"")</f>
      </c>
      <c r="F31" s="3">
        <f>IF(AND($B31&lt;&gt;"",$C31&lt;&gt;""),IFERROR($C31*$E31,""),"")</f>
      </c>
      <c r="G31">
        <f>IF($B31&lt;&gt;"",IFERROR(IF(EXACT(LOWER($D31),LOWER(VLOOKUP($B31,Ingredients!$A$2:$C$500,2,FALSE))),"OK","CHECK UNIT"),"NOT FOUND"),"")</f>
      </c>
    </row>
    <row r="32" spans="5:7" x14ac:dyDescent="0.25">
      <c r="E32" s="2">
        <f>IF($B32&lt;&gt;"",IFERROR(VLOOKUP($B32,Ingredients!$A$2:$C$500,3,FALSE),""),"")</f>
      </c>
      <c r="F32" s="3">
        <f>IF(AND($B32&lt;&gt;"",$C32&lt;&gt;""),IFERROR($C32*$E32,""),"")</f>
      </c>
      <c r="G32">
        <f>IF($B32&lt;&gt;"",IFERROR(IF(EXACT(LOWER($D32),LOWER(VLOOKUP($B32,Ingredients!$A$2:$C$500,2,FALSE))),"OK","CHECK UNIT"),"NOT FOUND"),"")</f>
      </c>
    </row>
    <row r="33" spans="5:7" x14ac:dyDescent="0.25">
      <c r="E33" s="2">
        <f>IF($B33&lt;&gt;"",IFERROR(VLOOKUP($B33,Ingredients!$A$2:$C$500,3,FALSE),""),"")</f>
      </c>
      <c r="F33" s="3">
        <f>IF(AND($B33&lt;&gt;"",$C33&lt;&gt;""),IFERROR($C33*$E33,""),"")</f>
      </c>
      <c r="G33">
        <f>IF($B33&lt;&gt;"",IFERROR(IF(EXACT(LOWER($D33),LOWER(VLOOKUP($B33,Ingredients!$A$2:$C$500,2,FALSE))),"OK","CHECK UNIT"),"NOT FOUND"),"")</f>
      </c>
    </row>
    <row r="34" spans="5:7" x14ac:dyDescent="0.25">
      <c r="E34" s="2">
        <f>IF($B34&lt;&gt;"",IFERROR(VLOOKUP($B34,Ingredients!$A$2:$C$500,3,FALSE),""),"")</f>
      </c>
      <c r="F34" s="3">
        <f>IF(AND($B34&lt;&gt;"",$C34&lt;&gt;""),IFERROR($C34*$E34,""),"")</f>
      </c>
      <c r="G34">
        <f>IF($B34&lt;&gt;"",IFERROR(IF(EXACT(LOWER($D34),LOWER(VLOOKUP($B34,Ingredients!$A$2:$C$500,2,FALSE))),"OK","CHECK UNIT"),"NOT FOUND"),"")</f>
      </c>
    </row>
    <row r="35" spans="5:7" x14ac:dyDescent="0.25">
      <c r="E35" s="2">
        <f>IF($B35&lt;&gt;"",IFERROR(VLOOKUP($B35,Ingredients!$A$2:$C$500,3,FALSE),""),"")</f>
      </c>
      <c r="F35" s="3">
        <f>IF(AND($B35&lt;&gt;"",$C35&lt;&gt;""),IFERROR($C35*$E35,""),"")</f>
      </c>
      <c r="G35">
        <f>IF($B35&lt;&gt;"",IFERROR(IF(EXACT(LOWER($D35),LOWER(VLOOKUP($B35,Ingredients!$A$2:$C$500,2,FALSE))),"OK","CHECK UNIT"),"NOT FOUND"),"")</f>
      </c>
    </row>
    <row r="36" spans="5:7" x14ac:dyDescent="0.25">
      <c r="E36" s="2">
        <f>IF($B36&lt;&gt;"",IFERROR(VLOOKUP($B36,Ingredients!$A$2:$C$500,3,FALSE),""),"")</f>
      </c>
      <c r="F36" s="3">
        <f>IF(AND($B36&lt;&gt;"",$C36&lt;&gt;""),IFERROR($C36*$E36,""),"")</f>
      </c>
      <c r="G36">
        <f>IF($B36&lt;&gt;"",IFERROR(IF(EXACT(LOWER($D36),LOWER(VLOOKUP($B36,Ingredients!$A$2:$C$500,2,FALSE))),"OK","CHECK UNIT"),"NOT FOUND"),"")</f>
      </c>
    </row>
    <row r="37" spans="5:7" x14ac:dyDescent="0.25">
      <c r="E37" s="2">
        <f>IF($B37&lt;&gt;"",IFERROR(VLOOKUP($B37,Ingredients!$A$2:$C$500,3,FALSE),""),"")</f>
      </c>
      <c r="F37" s="3">
        <f>IF(AND($B37&lt;&gt;"",$C37&lt;&gt;""),IFERROR($C37*$E37,""),"")</f>
      </c>
      <c r="G37">
        <f>IF($B37&lt;&gt;"",IFERROR(IF(EXACT(LOWER($D37),LOWER(VLOOKUP($B37,Ingredients!$A$2:$C$500,2,FALSE))),"OK","CHECK UNIT"),"NOT FOUND"),"")</f>
      </c>
    </row>
    <row r="38" spans="5:7" x14ac:dyDescent="0.25">
      <c r="E38" s="2">
        <f>IF($B38&lt;&gt;"",IFERROR(VLOOKUP($B38,Ingredients!$A$2:$C$500,3,FALSE),""),"")</f>
      </c>
      <c r="F38" s="3">
        <f>IF(AND($B38&lt;&gt;"",$C38&lt;&gt;""),IFERROR($C38*$E38,""),"")</f>
      </c>
      <c r="G38">
        <f>IF($B38&lt;&gt;"",IFERROR(IF(EXACT(LOWER($D38),LOWER(VLOOKUP($B38,Ingredients!$A$2:$C$500,2,FALSE))),"OK","CHECK UNIT"),"NOT FOUND"),"")</f>
      </c>
    </row>
    <row r="39" spans="5:7" x14ac:dyDescent="0.25">
      <c r="E39" s="2">
        <f>IF($B39&lt;&gt;"",IFERROR(VLOOKUP($B39,Ingredients!$A$2:$C$500,3,FALSE),""),"")</f>
      </c>
      <c r="F39" s="3">
        <f>IF(AND($B39&lt;&gt;"",$C39&lt;&gt;""),IFERROR($C39*$E39,""),"")</f>
      </c>
      <c r="G39">
        <f>IF($B39&lt;&gt;"",IFERROR(IF(EXACT(LOWER($D39),LOWER(VLOOKUP($B39,Ingredients!$A$2:$C$500,2,FALSE))),"OK","CHECK UNIT"),"NOT FOUND"),"")</f>
      </c>
    </row>
    <row r="40" spans="5:7" x14ac:dyDescent="0.25">
      <c r="E40" s="2">
        <f>IF($B40&lt;&gt;"",IFERROR(VLOOKUP($B40,Ingredients!$A$2:$C$500,3,FALSE),""),"")</f>
      </c>
      <c r="F40" s="3">
        <f>IF(AND($B40&lt;&gt;"",$C40&lt;&gt;""),IFERROR($C40*$E40,""),"")</f>
      </c>
      <c r="G40">
        <f>IF($B40&lt;&gt;"",IFERROR(IF(EXACT(LOWER($D40),LOWER(VLOOKUP($B40,Ingredients!$A$2:$C$500,2,FALSE))),"OK","CHECK UNIT"),"NOT FOUND"),"")</f>
      </c>
    </row>
    <row r="41" spans="5:7" x14ac:dyDescent="0.25">
      <c r="E41" s="2">
        <f>IF($B41&lt;&gt;"",IFERROR(VLOOKUP($B41,Ingredients!$A$2:$C$500,3,FALSE),""),"")</f>
      </c>
      <c r="F41" s="3">
        <f>IF(AND($B41&lt;&gt;"",$C41&lt;&gt;""),IFERROR($C41*$E41,""),"")</f>
      </c>
      <c r="G41">
        <f>IF($B41&lt;&gt;"",IFERROR(IF(EXACT(LOWER($D41),LOWER(VLOOKUP($B41,Ingredients!$A$2:$C$500,2,FALSE))),"OK","CHECK UNIT"),"NOT FOUND"),"")</f>
      </c>
    </row>
    <row r="42" spans="5:7" x14ac:dyDescent="0.25">
      <c r="E42" s="2">
        <f>IF($B42&lt;&gt;"",IFERROR(VLOOKUP($B42,Ingredients!$A$2:$C$500,3,FALSE),""),"")</f>
      </c>
      <c r="F42" s="3">
        <f>IF(AND($B42&lt;&gt;"",$C42&lt;&gt;""),IFERROR($C42*$E42,""),"")</f>
      </c>
      <c r="G42">
        <f>IF($B42&lt;&gt;"",IFERROR(IF(EXACT(LOWER($D42),LOWER(VLOOKUP($B42,Ingredients!$A$2:$C$500,2,FALSE))),"OK","CHECK UNIT"),"NOT FOUND"),"")</f>
      </c>
    </row>
    <row r="43" spans="5:7" x14ac:dyDescent="0.25">
      <c r="E43" s="2">
        <f>IF($B43&lt;&gt;"",IFERROR(VLOOKUP($B43,Ingredients!$A$2:$C$500,3,FALSE),""),"")</f>
      </c>
      <c r="F43" s="3">
        <f>IF(AND($B43&lt;&gt;"",$C43&lt;&gt;""),IFERROR($C43*$E43,""),"")</f>
      </c>
      <c r="G43">
        <f>IF($B43&lt;&gt;"",IFERROR(IF(EXACT(LOWER($D43),LOWER(VLOOKUP($B43,Ingredients!$A$2:$C$500,2,FALSE))),"OK","CHECK UNIT"),"NOT FOUND"),"")</f>
      </c>
    </row>
    <row r="44" spans="5:7" x14ac:dyDescent="0.25">
      <c r="E44" s="2">
        <f>IF($B44&lt;&gt;"",IFERROR(VLOOKUP($B44,Ingredients!$A$2:$C$500,3,FALSE),""),"")</f>
      </c>
      <c r="F44" s="3">
        <f>IF(AND($B44&lt;&gt;"",$C44&lt;&gt;""),IFERROR($C44*$E44,""),"")</f>
      </c>
      <c r="G44">
        <f>IF($B44&lt;&gt;"",IFERROR(IF(EXACT(LOWER($D44),LOWER(VLOOKUP($B44,Ingredients!$A$2:$C$500,2,FALSE))),"OK","CHECK UNIT"),"NOT FOUND"),"")</f>
      </c>
    </row>
    <row r="45" spans="5:7" x14ac:dyDescent="0.25">
      <c r="E45" s="2">
        <f>IF($B45&lt;&gt;"",IFERROR(VLOOKUP($B45,Ingredients!$A$2:$C$500,3,FALSE),""),"")</f>
      </c>
      <c r="F45" s="3">
        <f>IF(AND($B45&lt;&gt;"",$C45&lt;&gt;""),IFERROR($C45*$E45,""),"")</f>
      </c>
      <c r="G45">
        <f>IF($B45&lt;&gt;"",IFERROR(IF(EXACT(LOWER($D45),LOWER(VLOOKUP($B45,Ingredients!$A$2:$C$500,2,FALSE))),"OK","CHECK UNIT"),"NOT FOUND"),"")</f>
      </c>
    </row>
    <row r="46" spans="5:7" x14ac:dyDescent="0.25">
      <c r="E46" s="2">
        <f>IF($B46&lt;&gt;"",IFERROR(VLOOKUP($B46,Ingredients!$A$2:$C$500,3,FALSE),""),"")</f>
      </c>
      <c r="F46" s="3">
        <f>IF(AND($B46&lt;&gt;"",$C46&lt;&gt;""),IFERROR($C46*$E46,""),"")</f>
      </c>
      <c r="G46">
        <f>IF($B46&lt;&gt;"",IFERROR(IF(EXACT(LOWER($D46),LOWER(VLOOKUP($B46,Ingredients!$A$2:$C$500,2,FALSE))),"OK","CHECK UNIT"),"NOT FOUND"),"")</f>
      </c>
    </row>
    <row r="47" spans="5:7" x14ac:dyDescent="0.25">
      <c r="E47" s="2">
        <f>IF($B47&lt;&gt;"",IFERROR(VLOOKUP($B47,Ingredients!$A$2:$C$500,3,FALSE),""),"")</f>
      </c>
      <c r="F47" s="3">
        <f>IF(AND($B47&lt;&gt;"",$C47&lt;&gt;""),IFERROR($C47*$E47,""),"")</f>
      </c>
      <c r="G47">
        <f>IF($B47&lt;&gt;"",IFERROR(IF(EXACT(LOWER($D47),LOWER(VLOOKUP($B47,Ingredients!$A$2:$C$500,2,FALSE))),"OK","CHECK UNIT"),"NOT FOUND"),"")</f>
      </c>
    </row>
    <row r="48" spans="5:7" x14ac:dyDescent="0.25">
      <c r="E48" s="2">
        <f>IF($B48&lt;&gt;"",IFERROR(VLOOKUP($B48,Ingredients!$A$2:$C$500,3,FALSE),""),"")</f>
      </c>
      <c r="F48" s="3">
        <f>IF(AND($B48&lt;&gt;"",$C48&lt;&gt;""),IFERROR($C48*$E48,""),"")</f>
      </c>
      <c r="G48">
        <f>IF($B48&lt;&gt;"",IFERROR(IF(EXACT(LOWER($D48),LOWER(VLOOKUP($B48,Ingredients!$A$2:$C$500,2,FALSE))),"OK","CHECK UNIT"),"NOT FOUND"),"")</f>
      </c>
    </row>
    <row r="49" spans="5:7" x14ac:dyDescent="0.25">
      <c r="E49" s="2">
        <f>IF($B49&lt;&gt;"",IFERROR(VLOOKUP($B49,Ingredients!$A$2:$C$500,3,FALSE),""),"")</f>
      </c>
      <c r="F49" s="3">
        <f>IF(AND($B49&lt;&gt;"",$C49&lt;&gt;""),IFERROR($C49*$E49,""),"")</f>
      </c>
      <c r="G49">
        <f>IF($B49&lt;&gt;"",IFERROR(IF(EXACT(LOWER($D49),LOWER(VLOOKUP($B49,Ingredients!$A$2:$C$500,2,FALSE))),"OK","CHECK UNIT"),"NOT FOUND"),"")</f>
      </c>
    </row>
    <row r="50" spans="5:7" x14ac:dyDescent="0.25">
      <c r="E50" s="2">
        <f>IF($B50&lt;&gt;"",IFERROR(VLOOKUP($B50,Ingredients!$A$2:$C$500,3,FALSE),""),"")</f>
      </c>
      <c r="F50" s="3">
        <f>IF(AND($B50&lt;&gt;"",$C50&lt;&gt;""),IFERROR($C50*$E50,""),"")</f>
      </c>
      <c r="G50">
        <f>IF($B50&lt;&gt;"",IFERROR(IF(EXACT(LOWER($D50),LOWER(VLOOKUP($B50,Ingredients!$A$2:$C$500,2,FALSE))),"OK","CHECK UNIT"),"NOT FOUND"),"")</f>
      </c>
    </row>
    <row r="51" spans="5:7" x14ac:dyDescent="0.25">
      <c r="E51" s="2">
        <f>IF($B51&lt;&gt;"",IFERROR(VLOOKUP($B51,Ingredients!$A$2:$C$500,3,FALSE),""),"")</f>
      </c>
      <c r="F51" s="3">
        <f>IF(AND($B51&lt;&gt;"",$C51&lt;&gt;""),IFERROR($C51*$E51,""),"")</f>
      </c>
      <c r="G51">
        <f>IF($B51&lt;&gt;"",IFERROR(IF(EXACT(LOWER($D51),LOWER(VLOOKUP($B51,Ingredients!$A$2:$C$500,2,FALSE))),"OK","CHECK UNIT"),"NOT FOUND"),"")</f>
      </c>
    </row>
    <row r="52" spans="5:7" x14ac:dyDescent="0.25">
      <c r="E52" s="2">
        <f>IF($B52&lt;&gt;"",IFERROR(VLOOKUP($B52,Ingredients!$A$2:$C$500,3,FALSE),""),"")</f>
      </c>
      <c r="F52" s="3">
        <f>IF(AND($B52&lt;&gt;"",$C52&lt;&gt;""),IFERROR($C52*$E52,""),"")</f>
      </c>
      <c r="G52">
        <f>IF($B52&lt;&gt;"",IFERROR(IF(EXACT(LOWER($D52),LOWER(VLOOKUP($B52,Ingredients!$A$2:$C$500,2,FALSE))),"OK","CHECK UNIT"),"NOT FOUND"),"")</f>
      </c>
    </row>
    <row r="53" spans="5:7" x14ac:dyDescent="0.25">
      <c r="E53" s="2">
        <f>IF($B53&lt;&gt;"",IFERROR(VLOOKUP($B53,Ingredients!$A$2:$C$500,3,FALSE),""),"")</f>
      </c>
      <c r="F53" s="3">
        <f>IF(AND($B53&lt;&gt;"",$C53&lt;&gt;""),IFERROR($C53*$E53,""),"")</f>
      </c>
      <c r="G53">
        <f>IF($B53&lt;&gt;"",IFERROR(IF(EXACT(LOWER($D53),LOWER(VLOOKUP($B53,Ingredients!$A$2:$C$500,2,FALSE))),"OK","CHECK UNIT"),"NOT FOUND"),"")</f>
      </c>
    </row>
    <row r="54" spans="5:7" x14ac:dyDescent="0.25">
      <c r="E54" s="2">
        <f>IF($B54&lt;&gt;"",IFERROR(VLOOKUP($B54,Ingredients!$A$2:$C$500,3,FALSE),""),"")</f>
      </c>
      <c r="F54" s="3">
        <f>IF(AND($B54&lt;&gt;"",$C54&lt;&gt;""),IFERROR($C54*$E54,""),"")</f>
      </c>
      <c r="G54">
        <f>IF($B54&lt;&gt;"",IFERROR(IF(EXACT(LOWER($D54),LOWER(VLOOKUP($B54,Ingredients!$A$2:$C$500,2,FALSE))),"OK","CHECK UNIT"),"NOT FOUND"),"")</f>
      </c>
    </row>
    <row r="55" spans="5:7" x14ac:dyDescent="0.25">
      <c r="E55" s="2">
        <f>IF($B55&lt;&gt;"",IFERROR(VLOOKUP($B55,Ingredients!$A$2:$C$500,3,FALSE),""),"")</f>
      </c>
      <c r="F55" s="3">
        <f>IF(AND($B55&lt;&gt;"",$C55&lt;&gt;""),IFERROR($C55*$E55,""),"")</f>
      </c>
      <c r="G55">
        <f>IF($B55&lt;&gt;"",IFERROR(IF(EXACT(LOWER($D55),LOWER(VLOOKUP($B55,Ingredients!$A$2:$C$500,2,FALSE))),"OK","CHECK UNIT"),"NOT FOUND"),"")</f>
      </c>
    </row>
    <row r="56" spans="5:7" x14ac:dyDescent="0.25">
      <c r="E56" s="2">
        <f>IF($B56&lt;&gt;"",IFERROR(VLOOKUP($B56,Ingredients!$A$2:$C$500,3,FALSE),""),"")</f>
      </c>
      <c r="F56" s="3">
        <f>IF(AND($B56&lt;&gt;"",$C56&lt;&gt;""),IFERROR($C56*$E56,""),"")</f>
      </c>
      <c r="G56">
        <f>IF($B56&lt;&gt;"",IFERROR(IF(EXACT(LOWER($D56),LOWER(VLOOKUP($B56,Ingredients!$A$2:$C$500,2,FALSE))),"OK","CHECK UNIT"),"NOT FOUND"),"")</f>
      </c>
    </row>
    <row r="57" spans="5:7" x14ac:dyDescent="0.25">
      <c r="E57" s="2">
        <f>IF($B57&lt;&gt;"",IFERROR(VLOOKUP($B57,Ingredients!$A$2:$C$500,3,FALSE),""),"")</f>
      </c>
      <c r="F57" s="3">
        <f>IF(AND($B57&lt;&gt;"",$C57&lt;&gt;""),IFERROR($C57*$E57,""),"")</f>
      </c>
      <c r="G57">
        <f>IF($B57&lt;&gt;"",IFERROR(IF(EXACT(LOWER($D57),LOWER(VLOOKUP($B57,Ingredients!$A$2:$C$500,2,FALSE))),"OK","CHECK UNIT"),"NOT FOUND"),"")</f>
      </c>
    </row>
    <row r="58" spans="5:7" x14ac:dyDescent="0.25">
      <c r="E58" s="2">
        <f>IF($B58&lt;&gt;"",IFERROR(VLOOKUP($B58,Ingredients!$A$2:$C$500,3,FALSE),""),"")</f>
      </c>
      <c r="F58" s="3">
        <f>IF(AND($B58&lt;&gt;"",$C58&lt;&gt;""),IFERROR($C58*$E58,""),"")</f>
      </c>
      <c r="G58">
        <f>IF($B58&lt;&gt;"",IFERROR(IF(EXACT(LOWER($D58),LOWER(VLOOKUP($B58,Ingredients!$A$2:$C$500,2,FALSE))),"OK","CHECK UNIT"),"NOT FOUND"),"")</f>
      </c>
    </row>
    <row r="59" spans="5:7" x14ac:dyDescent="0.25">
      <c r="E59" s="2">
        <f>IF($B59&lt;&gt;"",IFERROR(VLOOKUP($B59,Ingredients!$A$2:$C$500,3,FALSE),""),"")</f>
      </c>
      <c r="F59" s="3">
        <f>IF(AND($B59&lt;&gt;"",$C59&lt;&gt;""),IFERROR($C59*$E59,""),"")</f>
      </c>
      <c r="G59">
        <f>IF($B59&lt;&gt;"",IFERROR(IF(EXACT(LOWER($D59),LOWER(VLOOKUP($B59,Ingredients!$A$2:$C$500,2,FALSE))),"OK","CHECK UNIT"),"NOT FOUND"),"")</f>
      </c>
    </row>
    <row r="60" spans="5:7" x14ac:dyDescent="0.25">
      <c r="E60" s="2">
        <f>IF($B60&lt;&gt;"",IFERROR(VLOOKUP($B60,Ingredients!$A$2:$C$500,3,FALSE),""),"")</f>
      </c>
      <c r="F60" s="3">
        <f>IF(AND($B60&lt;&gt;"",$C60&lt;&gt;""),IFERROR($C60*$E60,""),"")</f>
      </c>
      <c r="G60">
        <f>IF($B60&lt;&gt;"",IFERROR(IF(EXACT(LOWER($D60),LOWER(VLOOKUP($B60,Ingredients!$A$2:$C$500,2,FALSE))),"OK","CHECK UNIT"),"NOT FOUND"),"")</f>
      </c>
    </row>
    <row r="61" spans="5:7" x14ac:dyDescent="0.25">
      <c r="E61" s="2">
        <f>IF($B61&lt;&gt;"",IFERROR(VLOOKUP($B61,Ingredients!$A$2:$C$500,3,FALSE),""),"")</f>
      </c>
      <c r="F61" s="3">
        <f>IF(AND($B61&lt;&gt;"",$C61&lt;&gt;""),IFERROR($C61*$E61,""),"")</f>
      </c>
      <c r="G61">
        <f>IF($B61&lt;&gt;"",IFERROR(IF(EXACT(LOWER($D61),LOWER(VLOOKUP($B61,Ingredients!$A$2:$C$500,2,FALSE))),"OK","CHECK UNIT"),"NOT FOUND"),"")</f>
      </c>
    </row>
    <row r="62" spans="5:7" x14ac:dyDescent="0.25">
      <c r="E62" s="2">
        <f>IF($B62&lt;&gt;"",IFERROR(VLOOKUP($B62,Ingredients!$A$2:$C$500,3,FALSE),""),"")</f>
      </c>
      <c r="F62" s="3">
        <f>IF(AND($B62&lt;&gt;"",$C62&lt;&gt;""),IFERROR($C62*$E62,""),"")</f>
      </c>
      <c r="G62">
        <f>IF($B62&lt;&gt;"",IFERROR(IF(EXACT(LOWER($D62),LOWER(VLOOKUP($B62,Ingredients!$A$2:$C$500,2,FALSE))),"OK","CHECK UNIT"),"NOT FOUND"),"")</f>
      </c>
    </row>
    <row r="63" spans="5:7" x14ac:dyDescent="0.25">
      <c r="E63" s="2">
        <f>IF($B63&lt;&gt;"",IFERROR(VLOOKUP($B63,Ingredients!$A$2:$C$500,3,FALSE),""),"")</f>
      </c>
      <c r="F63" s="3">
        <f>IF(AND($B63&lt;&gt;"",$C63&lt;&gt;""),IFERROR($C63*$E63,""),"")</f>
      </c>
      <c r="G63">
        <f>IF($B63&lt;&gt;"",IFERROR(IF(EXACT(LOWER($D63),LOWER(VLOOKUP($B63,Ingredients!$A$2:$C$500,2,FALSE))),"OK","CHECK UNIT"),"NOT FOUND"),"")</f>
      </c>
    </row>
    <row r="64" spans="5:7" x14ac:dyDescent="0.25">
      <c r="E64" s="2">
        <f>IF($B64&lt;&gt;"",IFERROR(VLOOKUP($B64,Ingredients!$A$2:$C$500,3,FALSE),""),"")</f>
      </c>
      <c r="F64" s="3">
        <f>IF(AND($B64&lt;&gt;"",$C64&lt;&gt;""),IFERROR($C64*$E64,""),"")</f>
      </c>
      <c r="G64">
        <f>IF($B64&lt;&gt;"",IFERROR(IF(EXACT(LOWER($D64),LOWER(VLOOKUP($B64,Ingredients!$A$2:$C$500,2,FALSE))),"OK","CHECK UNIT"),"NOT FOUND"),"")</f>
      </c>
    </row>
    <row r="65" spans="5:7" x14ac:dyDescent="0.25">
      <c r="E65" s="2">
        <f>IF($B65&lt;&gt;"",IFERROR(VLOOKUP($B65,Ingredients!$A$2:$C$500,3,FALSE),""),"")</f>
      </c>
      <c r="F65" s="3">
        <f>IF(AND($B65&lt;&gt;"",$C65&lt;&gt;""),IFERROR($C65*$E65,""),"")</f>
      </c>
      <c r="G65">
        <f>IF($B65&lt;&gt;"",IFERROR(IF(EXACT(LOWER($D65),LOWER(VLOOKUP($B65,Ingredients!$A$2:$C$500,2,FALSE))),"OK","CHECK UNIT"),"NOT FOUND"),"")</f>
      </c>
    </row>
    <row r="66" spans="5:7" x14ac:dyDescent="0.25">
      <c r="E66" s="2">
        <f>IF($B66&lt;&gt;"",IFERROR(VLOOKUP($B66,Ingredients!$A$2:$C$500,3,FALSE),""),"")</f>
      </c>
      <c r="F66" s="3">
        <f>IF(AND($B66&lt;&gt;"",$C66&lt;&gt;""),IFERROR($C66*$E66,""),"")</f>
      </c>
      <c r="G66">
        <f>IF($B66&lt;&gt;"",IFERROR(IF(EXACT(LOWER($D66),LOWER(VLOOKUP($B66,Ingredients!$A$2:$C$500,2,FALSE))),"OK","CHECK UNIT"),"NOT FOUND"),"")</f>
      </c>
    </row>
    <row r="67" spans="5:7" x14ac:dyDescent="0.25">
      <c r="E67" s="2">
        <f>IF($B67&lt;&gt;"",IFERROR(VLOOKUP($B67,Ingredients!$A$2:$C$500,3,FALSE),""),"")</f>
      </c>
      <c r="F67" s="3">
        <f>IF(AND($B67&lt;&gt;"",$C67&lt;&gt;""),IFERROR($C67*$E67,""),"")</f>
      </c>
      <c r="G67">
        <f>IF($B67&lt;&gt;"",IFERROR(IF(EXACT(LOWER($D67),LOWER(VLOOKUP($B67,Ingredients!$A$2:$C$500,2,FALSE))),"OK","CHECK UNIT"),"NOT FOUND"),"")</f>
      </c>
    </row>
    <row r="68" spans="5:7" x14ac:dyDescent="0.25">
      <c r="E68" s="2">
        <f>IF($B68&lt;&gt;"",IFERROR(VLOOKUP($B68,Ingredients!$A$2:$C$500,3,FALSE),""),"")</f>
      </c>
      <c r="F68" s="3">
        <f>IF(AND($B68&lt;&gt;"",$C68&lt;&gt;""),IFERROR($C68*$E68,""),"")</f>
      </c>
      <c r="G68">
        <f>IF($B68&lt;&gt;"",IFERROR(IF(EXACT(LOWER($D68),LOWER(VLOOKUP($B68,Ingredients!$A$2:$C$500,2,FALSE))),"OK","CHECK UNIT"),"NOT FOUND"),"")</f>
      </c>
    </row>
    <row r="69" spans="5:7" x14ac:dyDescent="0.25">
      <c r="E69" s="2">
        <f>IF($B69&lt;&gt;"",IFERROR(VLOOKUP($B69,Ingredients!$A$2:$C$500,3,FALSE),""),"")</f>
      </c>
      <c r="F69" s="3">
        <f>IF(AND($B69&lt;&gt;"",$C69&lt;&gt;""),IFERROR($C69*$E69,""),"")</f>
      </c>
      <c r="G69">
        <f>IF($B69&lt;&gt;"",IFERROR(IF(EXACT(LOWER($D69),LOWER(VLOOKUP($B69,Ingredients!$A$2:$C$500,2,FALSE))),"OK","CHECK UNIT"),"NOT FOUND"),"")</f>
      </c>
    </row>
    <row r="70" spans="5:7" x14ac:dyDescent="0.25">
      <c r="E70" s="2">
        <f>IF($B70&lt;&gt;"",IFERROR(VLOOKUP($B70,Ingredients!$A$2:$C$500,3,FALSE),""),"")</f>
      </c>
      <c r="F70" s="3">
        <f>IF(AND($B70&lt;&gt;"",$C70&lt;&gt;""),IFERROR($C70*$E70,""),"")</f>
      </c>
      <c r="G70">
        <f>IF($B70&lt;&gt;"",IFERROR(IF(EXACT(LOWER($D70),LOWER(VLOOKUP($B70,Ingredients!$A$2:$C$500,2,FALSE))),"OK","CHECK UNIT"),"NOT FOUND"),"")</f>
      </c>
    </row>
    <row r="71" spans="5:7" x14ac:dyDescent="0.25">
      <c r="E71" s="2">
        <f>IF($B71&lt;&gt;"",IFERROR(VLOOKUP($B71,Ingredients!$A$2:$C$500,3,FALSE),""),"")</f>
      </c>
      <c r="F71" s="3">
        <f>IF(AND($B71&lt;&gt;"",$C71&lt;&gt;""),IFERROR($C71*$E71,""),"")</f>
      </c>
      <c r="G71">
        <f>IF($B71&lt;&gt;"",IFERROR(IF(EXACT(LOWER($D71),LOWER(VLOOKUP($B71,Ingredients!$A$2:$C$500,2,FALSE))),"OK","CHECK UNIT"),"NOT FOUND"),"")</f>
      </c>
    </row>
    <row r="72" spans="5:7" x14ac:dyDescent="0.25">
      <c r="E72" s="2">
        <f>IF($B72&lt;&gt;"",IFERROR(VLOOKUP($B72,Ingredients!$A$2:$C$500,3,FALSE),""),"")</f>
      </c>
      <c r="F72" s="3">
        <f>IF(AND($B72&lt;&gt;"",$C72&lt;&gt;""),IFERROR($C72*$E72,""),"")</f>
      </c>
      <c r="G72">
        <f>IF($B72&lt;&gt;"",IFERROR(IF(EXACT(LOWER($D72),LOWER(VLOOKUP($B72,Ingredients!$A$2:$C$500,2,FALSE))),"OK","CHECK UNIT"),"NOT FOUND"),"")</f>
      </c>
    </row>
    <row r="73" spans="5:7" x14ac:dyDescent="0.25">
      <c r="E73" s="2">
        <f>IF($B73&lt;&gt;"",IFERROR(VLOOKUP($B73,Ingredients!$A$2:$C$500,3,FALSE),""),"")</f>
      </c>
      <c r="F73" s="3">
        <f>IF(AND($B73&lt;&gt;"",$C73&lt;&gt;""),IFERROR($C73*$E73,""),"")</f>
      </c>
      <c r="G73">
        <f>IF($B73&lt;&gt;"",IFERROR(IF(EXACT(LOWER($D73),LOWER(VLOOKUP($B73,Ingredients!$A$2:$C$500,2,FALSE))),"OK","CHECK UNIT"),"NOT FOUND"),"")</f>
      </c>
    </row>
    <row r="74" spans="5:7" x14ac:dyDescent="0.25">
      <c r="E74" s="2">
        <f>IF($B74&lt;&gt;"",IFERROR(VLOOKUP($B74,Ingredients!$A$2:$C$500,3,FALSE),""),"")</f>
      </c>
      <c r="F74" s="3">
        <f>IF(AND($B74&lt;&gt;"",$C74&lt;&gt;""),IFERROR($C74*$E74,""),"")</f>
      </c>
      <c r="G74">
        <f>IF($B74&lt;&gt;"",IFERROR(IF(EXACT(LOWER($D74),LOWER(VLOOKUP($B74,Ingredients!$A$2:$C$500,2,FALSE))),"OK","CHECK UNIT"),"NOT FOUND"),"")</f>
      </c>
    </row>
    <row r="75" spans="5:7" x14ac:dyDescent="0.25">
      <c r="E75" s="2">
        <f>IF($B75&lt;&gt;"",IFERROR(VLOOKUP($B75,Ingredients!$A$2:$C$500,3,FALSE),""),"")</f>
      </c>
      <c r="F75" s="3">
        <f>IF(AND($B75&lt;&gt;"",$C75&lt;&gt;""),IFERROR($C75*$E75,""),"")</f>
      </c>
      <c r="G75">
        <f>IF($B75&lt;&gt;"",IFERROR(IF(EXACT(LOWER($D75),LOWER(VLOOKUP($B75,Ingredients!$A$2:$C$500,2,FALSE))),"OK","CHECK UNIT"),"NOT FOUND"),"")</f>
      </c>
    </row>
    <row r="76" spans="5:7" x14ac:dyDescent="0.25">
      <c r="E76" s="2">
        <f>IF($B76&lt;&gt;"",IFERROR(VLOOKUP($B76,Ingredients!$A$2:$C$500,3,FALSE),""),"")</f>
      </c>
      <c r="F76" s="3">
        <f>IF(AND($B76&lt;&gt;"",$C76&lt;&gt;""),IFERROR($C76*$E76,""),"")</f>
      </c>
      <c r="G76">
        <f>IF($B76&lt;&gt;"",IFERROR(IF(EXACT(LOWER($D76),LOWER(VLOOKUP($B76,Ingredients!$A$2:$C$500,2,FALSE))),"OK","CHECK UNIT"),"NOT FOUND"),"")</f>
      </c>
    </row>
    <row r="77" spans="5:7" x14ac:dyDescent="0.25">
      <c r="E77" s="2">
        <f>IF($B77&lt;&gt;"",IFERROR(VLOOKUP($B77,Ingredients!$A$2:$C$500,3,FALSE),""),"")</f>
      </c>
      <c r="F77" s="3">
        <f>IF(AND($B77&lt;&gt;"",$C77&lt;&gt;""),IFERROR($C77*$E77,""),"")</f>
      </c>
      <c r="G77">
        <f>IF($B77&lt;&gt;"",IFERROR(IF(EXACT(LOWER($D77),LOWER(VLOOKUP($B77,Ingredients!$A$2:$C$500,2,FALSE))),"OK","CHECK UNIT"),"NOT FOUND"),"")</f>
      </c>
    </row>
    <row r="78" spans="5:7" x14ac:dyDescent="0.25">
      <c r="E78" s="2">
        <f>IF($B78&lt;&gt;"",IFERROR(VLOOKUP($B78,Ingredients!$A$2:$C$500,3,FALSE),""),"")</f>
      </c>
      <c r="F78" s="3">
        <f>IF(AND($B78&lt;&gt;"",$C78&lt;&gt;""),IFERROR($C78*$E78,""),"")</f>
      </c>
      <c r="G78">
        <f>IF($B78&lt;&gt;"",IFERROR(IF(EXACT(LOWER($D78),LOWER(VLOOKUP($B78,Ingredients!$A$2:$C$500,2,FALSE))),"OK","CHECK UNIT"),"NOT FOUND"),"")</f>
      </c>
    </row>
    <row r="79" spans="5:7" x14ac:dyDescent="0.25">
      <c r="E79" s="2">
        <f>IF($B79&lt;&gt;"",IFERROR(VLOOKUP($B79,Ingredients!$A$2:$C$500,3,FALSE),""),"")</f>
      </c>
      <c r="F79" s="3">
        <f>IF(AND($B79&lt;&gt;"",$C79&lt;&gt;""),IFERROR($C79*$E79,""),"")</f>
      </c>
      <c r="G79">
        <f>IF($B79&lt;&gt;"",IFERROR(IF(EXACT(LOWER($D79),LOWER(VLOOKUP($B79,Ingredients!$A$2:$C$500,2,FALSE))),"OK","CHECK UNIT"),"NOT FOUND"),"")</f>
      </c>
    </row>
    <row r="80" spans="5:7" x14ac:dyDescent="0.25">
      <c r="E80" s="2">
        <f>IF($B80&lt;&gt;"",IFERROR(VLOOKUP($B80,Ingredients!$A$2:$C$500,3,FALSE),""),"")</f>
      </c>
      <c r="F80" s="3">
        <f>IF(AND($B80&lt;&gt;"",$C80&lt;&gt;""),IFERROR($C80*$E80,""),"")</f>
      </c>
      <c r="G80">
        <f>IF($B80&lt;&gt;"",IFERROR(IF(EXACT(LOWER($D80),LOWER(VLOOKUP($B80,Ingredients!$A$2:$C$500,2,FALSE))),"OK","CHECK UNIT"),"NOT FOUND"),"")</f>
      </c>
    </row>
    <row r="81" spans="5:7" x14ac:dyDescent="0.25">
      <c r="E81" s="2">
        <f>IF($B81&lt;&gt;"",IFERROR(VLOOKUP($B81,Ingredients!$A$2:$C$500,3,FALSE),""),"")</f>
      </c>
      <c r="F81" s="3">
        <f>IF(AND($B81&lt;&gt;"",$C81&lt;&gt;""),IFERROR($C81*$E81,""),"")</f>
      </c>
      <c r="G81">
        <f>IF($B81&lt;&gt;"",IFERROR(IF(EXACT(LOWER($D81),LOWER(VLOOKUP($B81,Ingredients!$A$2:$C$500,2,FALSE))),"OK","CHECK UNIT"),"NOT FOUND"),"")</f>
      </c>
    </row>
    <row r="82" spans="5:7" x14ac:dyDescent="0.25">
      <c r="E82" s="2">
        <f>IF($B82&lt;&gt;"",IFERROR(VLOOKUP($B82,Ingredients!$A$2:$C$500,3,FALSE),""),"")</f>
      </c>
      <c r="F82" s="3">
        <f>IF(AND($B82&lt;&gt;"",$C82&lt;&gt;""),IFERROR($C82*$E82,""),"")</f>
      </c>
      <c r="G82">
        <f>IF($B82&lt;&gt;"",IFERROR(IF(EXACT(LOWER($D82),LOWER(VLOOKUP($B82,Ingredients!$A$2:$C$500,2,FALSE))),"OK","CHECK UNIT"),"NOT FOUND"),"")</f>
      </c>
    </row>
    <row r="83" spans="5:7" x14ac:dyDescent="0.25">
      <c r="E83" s="2">
        <f>IF($B83&lt;&gt;"",IFERROR(VLOOKUP($B83,Ingredients!$A$2:$C$500,3,FALSE),""),"")</f>
      </c>
      <c r="F83" s="3">
        <f>IF(AND($B83&lt;&gt;"",$C83&lt;&gt;""),IFERROR($C83*$E83,""),"")</f>
      </c>
      <c r="G83">
        <f>IF($B83&lt;&gt;"",IFERROR(IF(EXACT(LOWER($D83),LOWER(VLOOKUP($B83,Ingredients!$A$2:$C$500,2,FALSE))),"OK","CHECK UNIT"),"NOT FOUND"),"")</f>
      </c>
    </row>
    <row r="84" spans="5:7" x14ac:dyDescent="0.25">
      <c r="E84" s="2">
        <f>IF($B84&lt;&gt;"",IFERROR(VLOOKUP($B84,Ingredients!$A$2:$C$500,3,FALSE),""),"")</f>
      </c>
      <c r="F84" s="3">
        <f>IF(AND($B84&lt;&gt;"",$C84&lt;&gt;""),IFERROR($C84*$E84,""),"")</f>
      </c>
      <c r="G84">
        <f>IF($B84&lt;&gt;"",IFERROR(IF(EXACT(LOWER($D84),LOWER(VLOOKUP($B84,Ingredients!$A$2:$C$500,2,FALSE))),"OK","CHECK UNIT"),"NOT FOUND"),"")</f>
      </c>
    </row>
    <row r="85" spans="5:7" x14ac:dyDescent="0.25">
      <c r="E85" s="2">
        <f>IF($B85&lt;&gt;"",IFERROR(VLOOKUP($B85,Ingredients!$A$2:$C$500,3,FALSE),""),"")</f>
      </c>
      <c r="F85" s="3">
        <f>IF(AND($B85&lt;&gt;"",$C85&lt;&gt;""),IFERROR($C85*$E85,""),"")</f>
      </c>
      <c r="G85">
        <f>IF($B85&lt;&gt;"",IFERROR(IF(EXACT(LOWER($D85),LOWER(VLOOKUP($B85,Ingredients!$A$2:$C$500,2,FALSE))),"OK","CHECK UNIT"),"NOT FOUND"),"")</f>
      </c>
    </row>
    <row r="86" spans="5:7" x14ac:dyDescent="0.25">
      <c r="E86" s="2">
        <f>IF($B86&lt;&gt;"",IFERROR(VLOOKUP($B86,Ingredients!$A$2:$C$500,3,FALSE),""),"")</f>
      </c>
      <c r="F86" s="3">
        <f>IF(AND($B86&lt;&gt;"",$C86&lt;&gt;""),IFERROR($C86*$E86,""),"")</f>
      </c>
      <c r="G86">
        <f>IF($B86&lt;&gt;"",IFERROR(IF(EXACT(LOWER($D86),LOWER(VLOOKUP($B86,Ingredients!$A$2:$C$500,2,FALSE))),"OK","CHECK UNIT"),"NOT FOUND"),"")</f>
      </c>
    </row>
    <row r="87" spans="5:7" x14ac:dyDescent="0.25">
      <c r="E87" s="2">
        <f>IF($B87&lt;&gt;"",IFERROR(VLOOKUP($B87,Ingredients!$A$2:$C$500,3,FALSE),""),"")</f>
      </c>
      <c r="F87" s="3">
        <f>IF(AND($B87&lt;&gt;"",$C87&lt;&gt;""),IFERROR($C87*$E87,""),"")</f>
      </c>
      <c r="G87">
        <f>IF($B87&lt;&gt;"",IFERROR(IF(EXACT(LOWER($D87),LOWER(VLOOKUP($B87,Ingredients!$A$2:$C$500,2,FALSE))),"OK","CHECK UNIT"),"NOT FOUND"),"")</f>
      </c>
    </row>
    <row r="88" spans="5:7" x14ac:dyDescent="0.25">
      <c r="E88" s="2">
        <f>IF($B88&lt;&gt;"",IFERROR(VLOOKUP($B88,Ingredients!$A$2:$C$500,3,FALSE),""),"")</f>
      </c>
      <c r="F88" s="3">
        <f>IF(AND($B88&lt;&gt;"",$C88&lt;&gt;""),IFERROR($C88*$E88,""),"")</f>
      </c>
      <c r="G88">
        <f>IF($B88&lt;&gt;"",IFERROR(IF(EXACT(LOWER($D88),LOWER(VLOOKUP($B88,Ingredients!$A$2:$C$500,2,FALSE))),"OK","CHECK UNIT"),"NOT FOUND"),"")</f>
      </c>
    </row>
    <row r="89" spans="5:7" x14ac:dyDescent="0.25">
      <c r="E89" s="2">
        <f>IF($B89&lt;&gt;"",IFERROR(VLOOKUP($B89,Ingredients!$A$2:$C$500,3,FALSE),""),"")</f>
      </c>
      <c r="F89" s="3">
        <f>IF(AND($B89&lt;&gt;"",$C89&lt;&gt;""),IFERROR($C89*$E89,""),"")</f>
      </c>
      <c r="G89">
        <f>IF($B89&lt;&gt;"",IFERROR(IF(EXACT(LOWER($D89),LOWER(VLOOKUP($B89,Ingredients!$A$2:$C$500,2,FALSE))),"OK","CHECK UNIT"),"NOT FOUND"),"")</f>
      </c>
    </row>
    <row r="90" spans="5:7" x14ac:dyDescent="0.25">
      <c r="E90" s="2">
        <f>IF($B90&lt;&gt;"",IFERROR(VLOOKUP($B90,Ingredients!$A$2:$C$500,3,FALSE),""),"")</f>
      </c>
      <c r="F90" s="3">
        <f>IF(AND($B90&lt;&gt;"",$C90&lt;&gt;""),IFERROR($C90*$E90,""),"")</f>
      </c>
      <c r="G90">
        <f>IF($B90&lt;&gt;"",IFERROR(IF(EXACT(LOWER($D90),LOWER(VLOOKUP($B90,Ingredients!$A$2:$C$500,2,FALSE))),"OK","CHECK UNIT"),"NOT FOUND"),"")</f>
      </c>
    </row>
    <row r="91" spans="5:7" x14ac:dyDescent="0.25">
      <c r="E91" s="2">
        <f>IF($B91&lt;&gt;"",IFERROR(VLOOKUP($B91,Ingredients!$A$2:$C$500,3,FALSE),""),"")</f>
      </c>
      <c r="F91" s="3">
        <f>IF(AND($B91&lt;&gt;"",$C91&lt;&gt;""),IFERROR($C91*$E91,""),"")</f>
      </c>
      <c r="G91">
        <f>IF($B91&lt;&gt;"",IFERROR(IF(EXACT(LOWER($D91),LOWER(VLOOKUP($B91,Ingredients!$A$2:$C$500,2,FALSE))),"OK","CHECK UNIT"),"NOT FOUND"),"")</f>
      </c>
    </row>
    <row r="92" spans="5:7" x14ac:dyDescent="0.25">
      <c r="E92" s="2">
        <f>IF($B92&lt;&gt;"",IFERROR(VLOOKUP($B92,Ingredients!$A$2:$C$500,3,FALSE),""),"")</f>
      </c>
      <c r="F92" s="3">
        <f>IF(AND($B92&lt;&gt;"",$C92&lt;&gt;""),IFERROR($C92*$E92,""),"")</f>
      </c>
      <c r="G92">
        <f>IF($B92&lt;&gt;"",IFERROR(IF(EXACT(LOWER($D92),LOWER(VLOOKUP($B92,Ingredients!$A$2:$C$500,2,FALSE))),"OK","CHECK UNIT"),"NOT FOUND"),"")</f>
      </c>
    </row>
    <row r="93" spans="5:7" x14ac:dyDescent="0.25">
      <c r="E93" s="2">
        <f>IF($B93&lt;&gt;"",IFERROR(VLOOKUP($B93,Ingredients!$A$2:$C$500,3,FALSE),""),"")</f>
      </c>
      <c r="F93" s="3">
        <f>IF(AND($B93&lt;&gt;"",$C93&lt;&gt;""),IFERROR($C93*$E93,""),"")</f>
      </c>
      <c r="G93">
        <f>IF($B93&lt;&gt;"",IFERROR(IF(EXACT(LOWER($D93),LOWER(VLOOKUP($B93,Ingredients!$A$2:$C$500,2,FALSE))),"OK","CHECK UNIT"),"NOT FOUND"),"")</f>
      </c>
    </row>
    <row r="94" spans="5:7" x14ac:dyDescent="0.25">
      <c r="E94" s="2">
        <f>IF($B94&lt;&gt;"",IFERROR(VLOOKUP($B94,Ingredients!$A$2:$C$500,3,FALSE),""),"")</f>
      </c>
      <c r="F94" s="3">
        <f>IF(AND($B94&lt;&gt;"",$C94&lt;&gt;""),IFERROR($C94*$E94,""),"")</f>
      </c>
      <c r="G94">
        <f>IF($B94&lt;&gt;"",IFERROR(IF(EXACT(LOWER($D94),LOWER(VLOOKUP($B94,Ingredients!$A$2:$C$500,2,FALSE))),"OK","CHECK UNIT"),"NOT FOUND"),"")</f>
      </c>
    </row>
    <row r="95" spans="5:7" x14ac:dyDescent="0.25">
      <c r="E95" s="2">
        <f>IF($B95&lt;&gt;"",IFERROR(VLOOKUP($B95,Ingredients!$A$2:$C$500,3,FALSE),""),"")</f>
      </c>
      <c r="F95" s="3">
        <f>IF(AND($B95&lt;&gt;"",$C95&lt;&gt;""),IFERROR($C95*$E95,""),"")</f>
      </c>
      <c r="G95">
        <f>IF($B95&lt;&gt;"",IFERROR(IF(EXACT(LOWER($D95),LOWER(VLOOKUP($B95,Ingredients!$A$2:$C$500,2,FALSE))),"OK","CHECK UNIT"),"NOT FOUND"),"")</f>
      </c>
    </row>
    <row r="96" spans="5:7" x14ac:dyDescent="0.25">
      <c r="E96" s="2">
        <f>IF($B96&lt;&gt;"",IFERROR(VLOOKUP($B96,Ingredients!$A$2:$C$500,3,FALSE),""),"")</f>
      </c>
      <c r="F96" s="3">
        <f>IF(AND($B96&lt;&gt;"",$C96&lt;&gt;""),IFERROR($C96*$E96,""),"")</f>
      </c>
      <c r="G96">
        <f>IF($B96&lt;&gt;"",IFERROR(IF(EXACT(LOWER($D96),LOWER(VLOOKUP($B96,Ingredients!$A$2:$C$500,2,FALSE))),"OK","CHECK UNIT"),"NOT FOUND"),"")</f>
      </c>
    </row>
    <row r="97" spans="5:7" x14ac:dyDescent="0.25">
      <c r="E97" s="2">
        <f>IF($B97&lt;&gt;"",IFERROR(VLOOKUP($B97,Ingredients!$A$2:$C$500,3,FALSE),""),"")</f>
      </c>
      <c r="F97" s="3">
        <f>IF(AND($B97&lt;&gt;"",$C97&lt;&gt;""),IFERROR($C97*$E97,""),"")</f>
      </c>
      <c r="G97">
        <f>IF($B97&lt;&gt;"",IFERROR(IF(EXACT(LOWER($D97),LOWER(VLOOKUP($B97,Ingredients!$A$2:$C$500,2,FALSE))),"OK","CHECK UNIT"),"NOT FOUND"),"")</f>
      </c>
    </row>
    <row r="98" spans="5:7" x14ac:dyDescent="0.25">
      <c r="E98" s="2">
        <f>IF($B98&lt;&gt;"",IFERROR(VLOOKUP($B98,Ingredients!$A$2:$C$500,3,FALSE),""),"")</f>
      </c>
      <c r="F98" s="3">
        <f>IF(AND($B98&lt;&gt;"",$C98&lt;&gt;""),IFERROR($C98*$E98,""),"")</f>
      </c>
      <c r="G98">
        <f>IF($B98&lt;&gt;"",IFERROR(IF(EXACT(LOWER($D98),LOWER(VLOOKUP($B98,Ingredients!$A$2:$C$500,2,FALSE))),"OK","CHECK UNIT"),"NOT FOUND"),"")</f>
      </c>
    </row>
    <row r="99" spans="5:7" x14ac:dyDescent="0.25">
      <c r="E99" s="2">
        <f>IF($B99&lt;&gt;"",IFERROR(VLOOKUP($B99,Ingredients!$A$2:$C$500,3,FALSE),""),"")</f>
      </c>
      <c r="F99" s="3">
        <f>IF(AND($B99&lt;&gt;"",$C99&lt;&gt;""),IFERROR($C99*$E99,""),"")</f>
      </c>
      <c r="G99">
        <f>IF($B99&lt;&gt;"",IFERROR(IF(EXACT(LOWER($D99),LOWER(VLOOKUP($B99,Ingredients!$A$2:$C$500,2,FALSE))),"OK","CHECK UNIT"),"NOT FOUND"),"")</f>
      </c>
    </row>
    <row r="100" spans="5:7" x14ac:dyDescent="0.25">
      <c r="E100" s="2">
        <f>IF($B100&lt;&gt;"",IFERROR(VLOOKUP($B100,Ingredients!$A$2:$C$500,3,FALSE),""),"")</f>
      </c>
      <c r="F100" s="3">
        <f>IF(AND($B100&lt;&gt;"",$C100&lt;&gt;""),IFERROR($C100*$E100,""),"")</f>
      </c>
      <c r="G100">
        <f>IF($B100&lt;&gt;"",IFERROR(IF(EXACT(LOWER($D100),LOWER(VLOOKUP($B100,Ingredients!$A$2:$C$500,2,FALSE))),"OK","CHECK UNIT"),"NOT FOUND"),"")</f>
      </c>
    </row>
    <row r="101" spans="5:7" x14ac:dyDescent="0.25">
      <c r="E101" s="2">
        <f>IF($B101&lt;&gt;"",IFERROR(VLOOKUP($B101,Ingredients!$A$2:$C$500,3,FALSE),""),"")</f>
      </c>
      <c r="F101" s="3">
        <f>IF(AND($B101&lt;&gt;"",$C101&lt;&gt;""),IFERROR($C101*$E101,""),"")</f>
      </c>
      <c r="G101">
        <f>IF($B101&lt;&gt;"",IFERROR(IF(EXACT(LOWER($D101),LOWER(VLOOKUP($B101,Ingredients!$A$2:$C$500,2,FALSE))),"OK","CHECK UNIT"),"NOT FOUND"),"")</f>
      </c>
    </row>
    <row r="102" spans="5:7" x14ac:dyDescent="0.25">
      <c r="E102" s="2">
        <f>IF($B102&lt;&gt;"",IFERROR(VLOOKUP($B102,Ingredients!$A$2:$C$500,3,FALSE),""),"")</f>
      </c>
      <c r="F102" s="3">
        <f>IF(AND($B102&lt;&gt;"",$C102&lt;&gt;""),IFERROR($C102*$E102,""),"")</f>
      </c>
      <c r="G102">
        <f>IF($B102&lt;&gt;"",IFERROR(IF(EXACT(LOWER($D102),LOWER(VLOOKUP($B102,Ingredients!$A$2:$C$500,2,FALSE))),"OK","CHECK UNIT"),"NOT FOUND"),"")</f>
      </c>
    </row>
    <row r="103" spans="5:7" x14ac:dyDescent="0.25">
      <c r="E103" s="2">
        <f>IF($B103&lt;&gt;"",IFERROR(VLOOKUP($B103,Ingredients!$A$2:$C$500,3,FALSE),""),"")</f>
      </c>
      <c r="F103" s="3">
        <f>IF(AND($B103&lt;&gt;"",$C103&lt;&gt;""),IFERROR($C103*$E103,""),"")</f>
      </c>
      <c r="G103">
        <f>IF($B103&lt;&gt;"",IFERROR(IF(EXACT(LOWER($D103),LOWER(VLOOKUP($B103,Ingredients!$A$2:$C$500,2,FALSE))),"OK","CHECK UNIT"),"NOT FOUND"),"")</f>
      </c>
    </row>
    <row r="104" spans="5:7" x14ac:dyDescent="0.25">
      <c r="E104" s="2">
        <f>IF($B104&lt;&gt;"",IFERROR(VLOOKUP($B104,Ingredients!$A$2:$C$500,3,FALSE),""),"")</f>
      </c>
      <c r="F104" s="3">
        <f>IF(AND($B104&lt;&gt;"",$C104&lt;&gt;""),IFERROR($C104*$E104,""),"")</f>
      </c>
      <c r="G104">
        <f>IF($B104&lt;&gt;"",IFERROR(IF(EXACT(LOWER($D104),LOWER(VLOOKUP($B104,Ingredients!$A$2:$C$500,2,FALSE))),"OK","CHECK UNIT"),"NOT FOUND"),"")</f>
      </c>
    </row>
    <row r="105" spans="5:7" x14ac:dyDescent="0.25">
      <c r="E105" s="2">
        <f>IF($B105&lt;&gt;"",IFERROR(VLOOKUP($B105,Ingredients!$A$2:$C$500,3,FALSE),""),"")</f>
      </c>
      <c r="F105" s="3">
        <f>IF(AND($B105&lt;&gt;"",$C105&lt;&gt;""),IFERROR($C105*$E105,""),"")</f>
      </c>
      <c r="G105">
        <f>IF($B105&lt;&gt;"",IFERROR(IF(EXACT(LOWER($D105),LOWER(VLOOKUP($B105,Ingredients!$A$2:$C$500,2,FALSE))),"OK","CHECK UNIT"),"NOT FOUND"),"")</f>
      </c>
    </row>
    <row r="106" spans="5:7" x14ac:dyDescent="0.25">
      <c r="E106" s="2">
        <f>IF($B106&lt;&gt;"",IFERROR(VLOOKUP($B106,Ingredients!$A$2:$C$500,3,FALSE),""),"")</f>
      </c>
      <c r="F106" s="3">
        <f>IF(AND($B106&lt;&gt;"",$C106&lt;&gt;""),IFERROR($C106*$E106,""),"")</f>
      </c>
      <c r="G106">
        <f>IF($B106&lt;&gt;"",IFERROR(IF(EXACT(LOWER($D106),LOWER(VLOOKUP($B106,Ingredients!$A$2:$C$500,2,FALSE))),"OK","CHECK UNIT"),"NOT FOUND"),"")</f>
      </c>
    </row>
    <row r="107" spans="5:7" x14ac:dyDescent="0.25">
      <c r="E107" s="2">
        <f>IF($B107&lt;&gt;"",IFERROR(VLOOKUP($B107,Ingredients!$A$2:$C$500,3,FALSE),""),"")</f>
      </c>
      <c r="F107" s="3">
        <f>IF(AND($B107&lt;&gt;"",$C107&lt;&gt;""),IFERROR($C107*$E107,""),"")</f>
      </c>
      <c r="G107">
        <f>IF($B107&lt;&gt;"",IFERROR(IF(EXACT(LOWER($D107),LOWER(VLOOKUP($B107,Ingredients!$A$2:$C$500,2,FALSE))),"OK","CHECK UNIT"),"NOT FOUND"),"")</f>
      </c>
    </row>
    <row r="108" spans="5:7" x14ac:dyDescent="0.25">
      <c r="E108" s="2">
        <f>IF($B108&lt;&gt;"",IFERROR(VLOOKUP($B108,Ingredients!$A$2:$C$500,3,FALSE),""),"")</f>
      </c>
      <c r="F108" s="3">
        <f>IF(AND($B108&lt;&gt;"",$C108&lt;&gt;""),IFERROR($C108*$E108,""),"")</f>
      </c>
      <c r="G108">
        <f>IF($B108&lt;&gt;"",IFERROR(IF(EXACT(LOWER($D108),LOWER(VLOOKUP($B108,Ingredients!$A$2:$C$500,2,FALSE))),"OK","CHECK UNIT"),"NOT FOUND"),"")</f>
      </c>
    </row>
    <row r="109" spans="5:7" x14ac:dyDescent="0.25">
      <c r="E109" s="2">
        <f>IF($B109&lt;&gt;"",IFERROR(VLOOKUP($B109,Ingredients!$A$2:$C$500,3,FALSE),""),"")</f>
      </c>
      <c r="F109" s="3">
        <f>IF(AND($B109&lt;&gt;"",$C109&lt;&gt;""),IFERROR($C109*$E109,""),"")</f>
      </c>
      <c r="G109">
        <f>IF($B109&lt;&gt;"",IFERROR(IF(EXACT(LOWER($D109),LOWER(VLOOKUP($B109,Ingredients!$A$2:$C$500,2,FALSE))),"OK","CHECK UNIT"),"NOT FOUND"),"")</f>
      </c>
    </row>
    <row r="110" spans="5:7" x14ac:dyDescent="0.25">
      <c r="E110" s="2">
        <f>IF($B110&lt;&gt;"",IFERROR(VLOOKUP($B110,Ingredients!$A$2:$C$500,3,FALSE),""),"")</f>
      </c>
      <c r="F110" s="3">
        <f>IF(AND($B110&lt;&gt;"",$C110&lt;&gt;""),IFERROR($C110*$E110,""),"")</f>
      </c>
      <c r="G110">
        <f>IF($B110&lt;&gt;"",IFERROR(IF(EXACT(LOWER($D110),LOWER(VLOOKUP($B110,Ingredients!$A$2:$C$500,2,FALSE))),"OK","CHECK UNIT"),"NOT FOUND"),"")</f>
      </c>
    </row>
    <row r="111" spans="5:7" x14ac:dyDescent="0.25">
      <c r="E111" s="2">
        <f>IF($B111&lt;&gt;"",IFERROR(VLOOKUP($B111,Ingredients!$A$2:$C$500,3,FALSE),""),"")</f>
      </c>
      <c r="F111" s="3">
        <f>IF(AND($B111&lt;&gt;"",$C111&lt;&gt;""),IFERROR($C111*$E111,""),"")</f>
      </c>
      <c r="G111">
        <f>IF($B111&lt;&gt;"",IFERROR(IF(EXACT(LOWER($D111),LOWER(VLOOKUP($B111,Ingredients!$A$2:$C$500,2,FALSE))),"OK","CHECK UNIT"),"NOT FOUND"),"")</f>
      </c>
    </row>
    <row r="112" spans="5:7" x14ac:dyDescent="0.25">
      <c r="E112" s="2">
        <f>IF($B112&lt;&gt;"",IFERROR(VLOOKUP($B112,Ingredients!$A$2:$C$500,3,FALSE),""),"")</f>
      </c>
      <c r="F112" s="3">
        <f>IF(AND($B112&lt;&gt;"",$C112&lt;&gt;""),IFERROR($C112*$E112,""),"")</f>
      </c>
      <c r="G112">
        <f>IF($B112&lt;&gt;"",IFERROR(IF(EXACT(LOWER($D112),LOWER(VLOOKUP($B112,Ingredients!$A$2:$C$500,2,FALSE))),"OK","CHECK UNIT"),"NOT FOUND"),"")</f>
      </c>
    </row>
    <row r="113" spans="5:7" x14ac:dyDescent="0.25">
      <c r="E113" s="2">
        <f>IF($B113&lt;&gt;"",IFERROR(VLOOKUP($B113,Ingredients!$A$2:$C$500,3,FALSE),""),"")</f>
      </c>
      <c r="F113" s="3">
        <f>IF(AND($B113&lt;&gt;"",$C113&lt;&gt;""),IFERROR($C113*$E113,""),"")</f>
      </c>
      <c r="G113">
        <f>IF($B113&lt;&gt;"",IFERROR(IF(EXACT(LOWER($D113),LOWER(VLOOKUP($B113,Ingredients!$A$2:$C$500,2,FALSE))),"OK","CHECK UNIT"),"NOT FOUND"),"")</f>
      </c>
    </row>
    <row r="114" spans="5:7" x14ac:dyDescent="0.25">
      <c r="E114" s="2">
        <f>IF($B114&lt;&gt;"",IFERROR(VLOOKUP($B114,Ingredients!$A$2:$C$500,3,FALSE),""),"")</f>
      </c>
      <c r="F114" s="3">
        <f>IF(AND($B114&lt;&gt;"",$C114&lt;&gt;""),IFERROR($C114*$E114,""),"")</f>
      </c>
      <c r="G114">
        <f>IF($B114&lt;&gt;"",IFERROR(IF(EXACT(LOWER($D114),LOWER(VLOOKUP($B114,Ingredients!$A$2:$C$500,2,FALSE))),"OK","CHECK UNIT"),"NOT FOUND"),"")</f>
      </c>
    </row>
    <row r="115" spans="5:7" x14ac:dyDescent="0.25">
      <c r="E115" s="2">
        <f>IF($B115&lt;&gt;"",IFERROR(VLOOKUP($B115,Ingredients!$A$2:$C$500,3,FALSE),""),"")</f>
      </c>
      <c r="F115" s="3">
        <f>IF(AND($B115&lt;&gt;"",$C115&lt;&gt;""),IFERROR($C115*$E115,""),"")</f>
      </c>
      <c r="G115">
        <f>IF($B115&lt;&gt;"",IFERROR(IF(EXACT(LOWER($D115),LOWER(VLOOKUP($B115,Ingredients!$A$2:$C$500,2,FALSE))),"OK","CHECK UNIT"),"NOT FOUND"),"")</f>
      </c>
    </row>
    <row r="116" spans="5:7" x14ac:dyDescent="0.25">
      <c r="E116" s="2">
        <f>IF($B116&lt;&gt;"",IFERROR(VLOOKUP($B116,Ingredients!$A$2:$C$500,3,FALSE),""),"")</f>
      </c>
      <c r="F116" s="3">
        <f>IF(AND($B116&lt;&gt;"",$C116&lt;&gt;""),IFERROR($C116*$E116,""),"")</f>
      </c>
      <c r="G116">
        <f>IF($B116&lt;&gt;"",IFERROR(IF(EXACT(LOWER($D116),LOWER(VLOOKUP($B116,Ingredients!$A$2:$C$500,2,FALSE))),"OK","CHECK UNIT"),"NOT FOUND"),"")</f>
      </c>
    </row>
    <row r="117" spans="5:7" x14ac:dyDescent="0.25">
      <c r="E117" s="2">
        <f>IF($B117&lt;&gt;"",IFERROR(VLOOKUP($B117,Ingredients!$A$2:$C$500,3,FALSE),""),"")</f>
      </c>
      <c r="F117" s="3">
        <f>IF(AND($B117&lt;&gt;"",$C117&lt;&gt;""),IFERROR($C117*$E117,""),"")</f>
      </c>
      <c r="G117">
        <f>IF($B117&lt;&gt;"",IFERROR(IF(EXACT(LOWER($D117),LOWER(VLOOKUP($B117,Ingredients!$A$2:$C$500,2,FALSE))),"OK","CHECK UNIT"),"NOT FOUND"),"")</f>
      </c>
    </row>
    <row r="118" spans="5:7" x14ac:dyDescent="0.25">
      <c r="E118" s="2">
        <f>IF($B118&lt;&gt;"",IFERROR(VLOOKUP($B118,Ingredients!$A$2:$C$500,3,FALSE),""),"")</f>
      </c>
      <c r="F118" s="3">
        <f>IF(AND($B118&lt;&gt;"",$C118&lt;&gt;""),IFERROR($C118*$E118,""),"")</f>
      </c>
      <c r="G118">
        <f>IF($B118&lt;&gt;"",IFERROR(IF(EXACT(LOWER($D118),LOWER(VLOOKUP($B118,Ingredients!$A$2:$C$500,2,FALSE))),"OK","CHECK UNIT"),"NOT FOUND"),"")</f>
      </c>
    </row>
    <row r="119" spans="5:7" x14ac:dyDescent="0.25">
      <c r="E119" s="2">
        <f>IF($B119&lt;&gt;"",IFERROR(VLOOKUP($B119,Ingredients!$A$2:$C$500,3,FALSE),""),"")</f>
      </c>
      <c r="F119" s="3">
        <f>IF(AND($B119&lt;&gt;"",$C119&lt;&gt;""),IFERROR($C119*$E119,""),"")</f>
      </c>
      <c r="G119">
        <f>IF($B119&lt;&gt;"",IFERROR(IF(EXACT(LOWER($D119),LOWER(VLOOKUP($B119,Ingredients!$A$2:$C$500,2,FALSE))),"OK","CHECK UNIT"),"NOT FOUND"),"")</f>
      </c>
    </row>
    <row r="120" spans="5:7" x14ac:dyDescent="0.25">
      <c r="E120" s="2">
        <f>IF($B120&lt;&gt;"",IFERROR(VLOOKUP($B120,Ingredients!$A$2:$C$500,3,FALSE),""),"")</f>
      </c>
      <c r="F120" s="3">
        <f>IF(AND($B120&lt;&gt;"",$C120&lt;&gt;""),IFERROR($C120*$E120,""),"")</f>
      </c>
      <c r="G120">
        <f>IF($B120&lt;&gt;"",IFERROR(IF(EXACT(LOWER($D120),LOWER(VLOOKUP($B120,Ingredients!$A$2:$C$500,2,FALSE))),"OK","CHECK UNIT"),"NOT FOUND"),"")</f>
      </c>
    </row>
    <row r="121" spans="5:7" x14ac:dyDescent="0.25">
      <c r="E121" s="2">
        <f>IF($B121&lt;&gt;"",IFERROR(VLOOKUP($B121,Ingredients!$A$2:$C$500,3,FALSE),""),"")</f>
      </c>
      <c r="F121" s="3">
        <f>IF(AND($B121&lt;&gt;"",$C121&lt;&gt;""),IFERROR($C121*$E121,""),"")</f>
      </c>
      <c r="G121">
        <f>IF($B121&lt;&gt;"",IFERROR(IF(EXACT(LOWER($D121),LOWER(VLOOKUP($B121,Ingredients!$A$2:$C$500,2,FALSE))),"OK","CHECK UNIT"),"NOT FOUND"),"")</f>
      </c>
    </row>
    <row r="122" spans="5:7" x14ac:dyDescent="0.25">
      <c r="E122" s="2">
        <f>IF($B122&lt;&gt;"",IFERROR(VLOOKUP($B122,Ingredients!$A$2:$C$500,3,FALSE),""),"")</f>
      </c>
      <c r="F122" s="3">
        <f>IF(AND($B122&lt;&gt;"",$C122&lt;&gt;""),IFERROR($C122*$E122,""),"")</f>
      </c>
      <c r="G122">
        <f>IF($B122&lt;&gt;"",IFERROR(IF(EXACT(LOWER($D122),LOWER(VLOOKUP($B122,Ingredients!$A$2:$C$500,2,FALSE))),"OK","CHECK UNIT"),"NOT FOUND"),"")</f>
      </c>
    </row>
    <row r="123" spans="5:7" x14ac:dyDescent="0.25">
      <c r="E123" s="2">
        <f>IF($B123&lt;&gt;"",IFERROR(VLOOKUP($B123,Ingredients!$A$2:$C$500,3,FALSE),""),"")</f>
      </c>
      <c r="F123" s="3">
        <f>IF(AND($B123&lt;&gt;"",$C123&lt;&gt;""),IFERROR($C123*$E123,""),"")</f>
      </c>
      <c r="G123">
        <f>IF($B123&lt;&gt;"",IFERROR(IF(EXACT(LOWER($D123),LOWER(VLOOKUP($B123,Ingredients!$A$2:$C$500,2,FALSE))),"OK","CHECK UNIT"),"NOT FOUND"),"")</f>
      </c>
    </row>
    <row r="124" spans="5:7" x14ac:dyDescent="0.25">
      <c r="E124" s="2">
        <f>IF($B124&lt;&gt;"",IFERROR(VLOOKUP($B124,Ingredients!$A$2:$C$500,3,FALSE),""),"")</f>
      </c>
      <c r="F124" s="3">
        <f>IF(AND($B124&lt;&gt;"",$C124&lt;&gt;""),IFERROR($C124*$E124,""),"")</f>
      </c>
      <c r="G124">
        <f>IF($B124&lt;&gt;"",IFERROR(IF(EXACT(LOWER($D124),LOWER(VLOOKUP($B124,Ingredients!$A$2:$C$500,2,FALSE))),"OK","CHECK UNIT"),"NOT FOUND"),"")</f>
      </c>
    </row>
    <row r="125" spans="5:7" x14ac:dyDescent="0.25">
      <c r="E125" s="2">
        <f>IF($B125&lt;&gt;"",IFERROR(VLOOKUP($B125,Ingredients!$A$2:$C$500,3,FALSE),""),"")</f>
      </c>
      <c r="F125" s="3">
        <f>IF(AND($B125&lt;&gt;"",$C125&lt;&gt;""),IFERROR($C125*$E125,""),"")</f>
      </c>
      <c r="G125">
        <f>IF($B125&lt;&gt;"",IFERROR(IF(EXACT(LOWER($D125),LOWER(VLOOKUP($B125,Ingredients!$A$2:$C$500,2,FALSE))),"OK","CHECK UNIT"),"NOT FOUND"),"")</f>
      </c>
    </row>
    <row r="126" spans="5:7" x14ac:dyDescent="0.25">
      <c r="E126" s="2">
        <f>IF($B126&lt;&gt;"",IFERROR(VLOOKUP($B126,Ingredients!$A$2:$C$500,3,FALSE),""),"")</f>
      </c>
      <c r="F126" s="3">
        <f>IF(AND($B126&lt;&gt;"",$C126&lt;&gt;""),IFERROR($C126*$E126,""),"")</f>
      </c>
      <c r="G126">
        <f>IF($B126&lt;&gt;"",IFERROR(IF(EXACT(LOWER($D126),LOWER(VLOOKUP($B126,Ingredients!$A$2:$C$500,2,FALSE))),"OK","CHECK UNIT"),"NOT FOUND"),"")</f>
      </c>
    </row>
    <row r="127" spans="5:7" x14ac:dyDescent="0.25">
      <c r="E127" s="2">
        <f>IF($B127&lt;&gt;"",IFERROR(VLOOKUP($B127,Ingredients!$A$2:$C$500,3,FALSE),""),"")</f>
      </c>
      <c r="F127" s="3">
        <f>IF(AND($B127&lt;&gt;"",$C127&lt;&gt;""),IFERROR($C127*$E127,""),"")</f>
      </c>
      <c r="G127">
        <f>IF($B127&lt;&gt;"",IFERROR(IF(EXACT(LOWER($D127),LOWER(VLOOKUP($B127,Ingredients!$A$2:$C$500,2,FALSE))),"OK","CHECK UNIT"),"NOT FOUND"),"")</f>
      </c>
    </row>
    <row r="128" spans="5:7" x14ac:dyDescent="0.25">
      <c r="E128" s="2">
        <f>IF($B128&lt;&gt;"",IFERROR(VLOOKUP($B128,Ingredients!$A$2:$C$500,3,FALSE),""),"")</f>
      </c>
      <c r="F128" s="3">
        <f>IF(AND($B128&lt;&gt;"",$C128&lt;&gt;""),IFERROR($C128*$E128,""),"")</f>
      </c>
      <c r="G128">
        <f>IF($B128&lt;&gt;"",IFERROR(IF(EXACT(LOWER($D128),LOWER(VLOOKUP($B128,Ingredients!$A$2:$C$500,2,FALSE))),"OK","CHECK UNIT"),"NOT FOUND"),"")</f>
      </c>
    </row>
    <row r="129" spans="5:7" x14ac:dyDescent="0.25">
      <c r="E129" s="2">
        <f>IF($B129&lt;&gt;"",IFERROR(VLOOKUP($B129,Ingredients!$A$2:$C$500,3,FALSE),""),"")</f>
      </c>
      <c r="F129" s="3">
        <f>IF(AND($B129&lt;&gt;"",$C129&lt;&gt;""),IFERROR($C129*$E129,""),"")</f>
      </c>
      <c r="G129">
        <f>IF($B129&lt;&gt;"",IFERROR(IF(EXACT(LOWER($D129),LOWER(VLOOKUP($B129,Ingredients!$A$2:$C$500,2,FALSE))),"OK","CHECK UNIT"),"NOT FOUND"),"")</f>
      </c>
    </row>
    <row r="130" spans="5:7" x14ac:dyDescent="0.25">
      <c r="E130" s="2">
        <f>IF($B130&lt;&gt;"",IFERROR(VLOOKUP($B130,Ingredients!$A$2:$C$500,3,FALSE),""),"")</f>
      </c>
      <c r="F130" s="3">
        <f>IF(AND($B130&lt;&gt;"",$C130&lt;&gt;""),IFERROR($C130*$E130,""),"")</f>
      </c>
      <c r="G130">
        <f>IF($B130&lt;&gt;"",IFERROR(IF(EXACT(LOWER($D130),LOWER(VLOOKUP($B130,Ingredients!$A$2:$C$500,2,FALSE))),"OK","CHECK UNIT"),"NOT FOUND"),"")</f>
      </c>
    </row>
    <row r="131" spans="5:7" x14ac:dyDescent="0.25">
      <c r="E131" s="2">
        <f>IF($B131&lt;&gt;"",IFERROR(VLOOKUP($B131,Ingredients!$A$2:$C$500,3,FALSE),""),"")</f>
      </c>
      <c r="F131" s="3">
        <f>IF(AND($B131&lt;&gt;"",$C131&lt;&gt;""),IFERROR($C131*$E131,""),"")</f>
      </c>
      <c r="G131">
        <f>IF($B131&lt;&gt;"",IFERROR(IF(EXACT(LOWER($D131),LOWER(VLOOKUP($B131,Ingredients!$A$2:$C$500,2,FALSE))),"OK","CHECK UNIT"),"NOT FOUND"),"")</f>
      </c>
    </row>
    <row r="132" spans="5:7" x14ac:dyDescent="0.25">
      <c r="E132" s="2">
        <f>IF($B132&lt;&gt;"",IFERROR(VLOOKUP($B132,Ingredients!$A$2:$C$500,3,FALSE),""),"")</f>
      </c>
      <c r="F132" s="3">
        <f>IF(AND($B132&lt;&gt;"",$C132&lt;&gt;""),IFERROR($C132*$E132,""),"")</f>
      </c>
      <c r="G132">
        <f>IF($B132&lt;&gt;"",IFERROR(IF(EXACT(LOWER($D132),LOWER(VLOOKUP($B132,Ingredients!$A$2:$C$500,2,FALSE))),"OK","CHECK UNIT"),"NOT FOUND"),"")</f>
      </c>
    </row>
    <row r="133" spans="5:7" x14ac:dyDescent="0.25">
      <c r="E133" s="2">
        <f>IF($B133&lt;&gt;"",IFERROR(VLOOKUP($B133,Ingredients!$A$2:$C$500,3,FALSE),""),"")</f>
      </c>
      <c r="F133" s="3">
        <f>IF(AND($B133&lt;&gt;"",$C133&lt;&gt;""),IFERROR($C133*$E133,""),"")</f>
      </c>
      <c r="G133">
        <f>IF($B133&lt;&gt;"",IFERROR(IF(EXACT(LOWER($D133),LOWER(VLOOKUP($B133,Ingredients!$A$2:$C$500,2,FALSE))),"OK","CHECK UNIT"),"NOT FOUND"),"")</f>
      </c>
    </row>
    <row r="134" spans="5:7" x14ac:dyDescent="0.25">
      <c r="E134" s="2">
        <f>IF($B134&lt;&gt;"",IFERROR(VLOOKUP($B134,Ingredients!$A$2:$C$500,3,FALSE),""),"")</f>
      </c>
      <c r="F134" s="3">
        <f>IF(AND($B134&lt;&gt;"",$C134&lt;&gt;""),IFERROR($C134*$E134,""),"")</f>
      </c>
      <c r="G134">
        <f>IF($B134&lt;&gt;"",IFERROR(IF(EXACT(LOWER($D134),LOWER(VLOOKUP($B134,Ingredients!$A$2:$C$500,2,FALSE))),"OK","CHECK UNIT"),"NOT FOUND"),"")</f>
      </c>
    </row>
    <row r="135" spans="5:7" x14ac:dyDescent="0.25">
      <c r="E135" s="2">
        <f>IF($B135&lt;&gt;"",IFERROR(VLOOKUP($B135,Ingredients!$A$2:$C$500,3,FALSE),""),"")</f>
      </c>
      <c r="F135" s="3">
        <f>IF(AND($B135&lt;&gt;"",$C135&lt;&gt;""),IFERROR($C135*$E135,""),"")</f>
      </c>
      <c r="G135">
        <f>IF($B135&lt;&gt;"",IFERROR(IF(EXACT(LOWER($D135),LOWER(VLOOKUP($B135,Ingredients!$A$2:$C$500,2,FALSE))),"OK","CHECK UNIT"),"NOT FOUND"),"")</f>
      </c>
    </row>
    <row r="136" spans="5:7" x14ac:dyDescent="0.25">
      <c r="E136" s="2">
        <f>IF($B136&lt;&gt;"",IFERROR(VLOOKUP($B136,Ingredients!$A$2:$C$500,3,FALSE),""),"")</f>
      </c>
      <c r="F136" s="3">
        <f>IF(AND($B136&lt;&gt;"",$C136&lt;&gt;""),IFERROR($C136*$E136,""),"")</f>
      </c>
      <c r="G136">
        <f>IF($B136&lt;&gt;"",IFERROR(IF(EXACT(LOWER($D136),LOWER(VLOOKUP($B136,Ingredients!$A$2:$C$500,2,FALSE))),"OK","CHECK UNIT"),"NOT FOUND"),"")</f>
      </c>
    </row>
    <row r="137" spans="5:7" x14ac:dyDescent="0.25">
      <c r="E137" s="2">
        <f>IF($B137&lt;&gt;"",IFERROR(VLOOKUP($B137,Ingredients!$A$2:$C$500,3,FALSE),""),"")</f>
      </c>
      <c r="F137" s="3">
        <f>IF(AND($B137&lt;&gt;"",$C137&lt;&gt;""),IFERROR($C137*$E137,""),"")</f>
      </c>
      <c r="G137">
        <f>IF($B137&lt;&gt;"",IFERROR(IF(EXACT(LOWER($D137),LOWER(VLOOKUP($B137,Ingredients!$A$2:$C$500,2,FALSE))),"OK","CHECK UNIT"),"NOT FOUND"),"")</f>
      </c>
    </row>
    <row r="138" spans="5:7" x14ac:dyDescent="0.25">
      <c r="E138" s="2">
        <f>IF($B138&lt;&gt;"",IFERROR(VLOOKUP($B138,Ingredients!$A$2:$C$500,3,FALSE),""),"")</f>
      </c>
      <c r="F138" s="3">
        <f>IF(AND($B138&lt;&gt;"",$C138&lt;&gt;""),IFERROR($C138*$E138,""),"")</f>
      </c>
      <c r="G138">
        <f>IF($B138&lt;&gt;"",IFERROR(IF(EXACT(LOWER($D138),LOWER(VLOOKUP($B138,Ingredients!$A$2:$C$500,2,FALSE))),"OK","CHECK UNIT"),"NOT FOUND"),"")</f>
      </c>
    </row>
    <row r="139" spans="5:7" x14ac:dyDescent="0.25">
      <c r="E139" s="2">
        <f>IF($B139&lt;&gt;"",IFERROR(VLOOKUP($B139,Ingredients!$A$2:$C$500,3,FALSE),""),"")</f>
      </c>
      <c r="F139" s="3">
        <f>IF(AND($B139&lt;&gt;"",$C139&lt;&gt;""),IFERROR($C139*$E139,""),"")</f>
      </c>
      <c r="G139">
        <f>IF($B139&lt;&gt;"",IFERROR(IF(EXACT(LOWER($D139),LOWER(VLOOKUP($B139,Ingredients!$A$2:$C$500,2,FALSE))),"OK","CHECK UNIT"),"NOT FOUND"),"")</f>
      </c>
    </row>
    <row r="140" spans="5:7" x14ac:dyDescent="0.25">
      <c r="E140" s="2">
        <f>IF($B140&lt;&gt;"",IFERROR(VLOOKUP($B140,Ingredients!$A$2:$C$500,3,FALSE),""),"")</f>
      </c>
      <c r="F140" s="3">
        <f>IF(AND($B140&lt;&gt;"",$C140&lt;&gt;""),IFERROR($C140*$E140,""),"")</f>
      </c>
      <c r="G140">
        <f>IF($B140&lt;&gt;"",IFERROR(IF(EXACT(LOWER($D140),LOWER(VLOOKUP($B140,Ingredients!$A$2:$C$500,2,FALSE))),"OK","CHECK UNIT"),"NOT FOUND"),"")</f>
      </c>
    </row>
    <row r="141" spans="5:7" x14ac:dyDescent="0.25">
      <c r="E141" s="2">
        <f>IF($B141&lt;&gt;"",IFERROR(VLOOKUP($B141,Ingredients!$A$2:$C$500,3,FALSE),""),"")</f>
      </c>
      <c r="F141" s="3">
        <f>IF(AND($B141&lt;&gt;"",$C141&lt;&gt;""),IFERROR($C141*$E141,""),"")</f>
      </c>
      <c r="G141">
        <f>IF($B141&lt;&gt;"",IFERROR(IF(EXACT(LOWER($D141),LOWER(VLOOKUP($B141,Ingredients!$A$2:$C$500,2,FALSE))),"OK","CHECK UNIT"),"NOT FOUND"),"")</f>
      </c>
    </row>
    <row r="142" spans="5:7" x14ac:dyDescent="0.25">
      <c r="E142" s="2">
        <f>IF($B142&lt;&gt;"",IFERROR(VLOOKUP($B142,Ingredients!$A$2:$C$500,3,FALSE),""),"")</f>
      </c>
      <c r="F142" s="3">
        <f>IF(AND($B142&lt;&gt;"",$C142&lt;&gt;""),IFERROR($C142*$E142,""),"")</f>
      </c>
      <c r="G142">
        <f>IF($B142&lt;&gt;"",IFERROR(IF(EXACT(LOWER($D142),LOWER(VLOOKUP($B142,Ingredients!$A$2:$C$500,2,FALSE))),"OK","CHECK UNIT"),"NOT FOUND"),"")</f>
      </c>
    </row>
    <row r="143" spans="5:7" x14ac:dyDescent="0.25">
      <c r="E143" s="2">
        <f>IF($B143&lt;&gt;"",IFERROR(VLOOKUP($B143,Ingredients!$A$2:$C$500,3,FALSE),""),"")</f>
      </c>
      <c r="F143" s="3">
        <f>IF(AND($B143&lt;&gt;"",$C143&lt;&gt;""),IFERROR($C143*$E143,""),"")</f>
      </c>
      <c r="G143">
        <f>IF($B143&lt;&gt;"",IFERROR(IF(EXACT(LOWER($D143),LOWER(VLOOKUP($B143,Ingredients!$A$2:$C$500,2,FALSE))),"OK","CHECK UNIT"),"NOT FOUND"),"")</f>
      </c>
    </row>
    <row r="144" spans="5:7" x14ac:dyDescent="0.25">
      <c r="E144" s="2">
        <f>IF($B144&lt;&gt;"",IFERROR(VLOOKUP($B144,Ingredients!$A$2:$C$500,3,FALSE),""),"")</f>
      </c>
      <c r="F144" s="3">
        <f>IF(AND($B144&lt;&gt;"",$C144&lt;&gt;""),IFERROR($C144*$E144,""),"")</f>
      </c>
      <c r="G144">
        <f>IF($B144&lt;&gt;"",IFERROR(IF(EXACT(LOWER($D144),LOWER(VLOOKUP($B144,Ingredients!$A$2:$C$500,2,FALSE))),"OK","CHECK UNIT"),"NOT FOUND"),"")</f>
      </c>
    </row>
    <row r="145" spans="5:7" x14ac:dyDescent="0.25">
      <c r="E145" s="2">
        <f>IF($B145&lt;&gt;"",IFERROR(VLOOKUP($B145,Ingredients!$A$2:$C$500,3,FALSE),""),"")</f>
      </c>
      <c r="F145" s="3">
        <f>IF(AND($B145&lt;&gt;"",$C145&lt;&gt;""),IFERROR($C145*$E145,""),"")</f>
      </c>
      <c r="G145">
        <f>IF($B145&lt;&gt;"",IFERROR(IF(EXACT(LOWER($D145),LOWER(VLOOKUP($B145,Ingredients!$A$2:$C$500,2,FALSE))),"OK","CHECK UNIT"),"NOT FOUND"),"")</f>
      </c>
    </row>
    <row r="146" spans="5:7" x14ac:dyDescent="0.25">
      <c r="E146" s="2">
        <f>IF($B146&lt;&gt;"",IFERROR(VLOOKUP($B146,Ingredients!$A$2:$C$500,3,FALSE),""),"")</f>
      </c>
      <c r="F146" s="3">
        <f>IF(AND($B146&lt;&gt;"",$C146&lt;&gt;""),IFERROR($C146*$E146,""),"")</f>
      </c>
      <c r="G146">
        <f>IF($B146&lt;&gt;"",IFERROR(IF(EXACT(LOWER($D146),LOWER(VLOOKUP($B146,Ingredients!$A$2:$C$500,2,FALSE))),"OK","CHECK UNIT"),"NOT FOUND"),"")</f>
      </c>
    </row>
    <row r="147" spans="5:7" x14ac:dyDescent="0.25">
      <c r="E147" s="2">
        <f>IF($B147&lt;&gt;"",IFERROR(VLOOKUP($B147,Ingredients!$A$2:$C$500,3,FALSE),""),"")</f>
      </c>
      <c r="F147" s="3">
        <f>IF(AND($B147&lt;&gt;"",$C147&lt;&gt;""),IFERROR($C147*$E147,""),"")</f>
      </c>
      <c r="G147">
        <f>IF($B147&lt;&gt;"",IFERROR(IF(EXACT(LOWER($D147),LOWER(VLOOKUP($B147,Ingredients!$A$2:$C$500,2,FALSE))),"OK","CHECK UNIT"),"NOT FOUND"),"")</f>
      </c>
    </row>
    <row r="148" spans="5:7" x14ac:dyDescent="0.25">
      <c r="E148" s="2">
        <f>IF($B148&lt;&gt;"",IFERROR(VLOOKUP($B148,Ingredients!$A$2:$C$500,3,FALSE),""),"")</f>
      </c>
      <c r="F148" s="3">
        <f>IF(AND($B148&lt;&gt;"",$C148&lt;&gt;""),IFERROR($C148*$E148,""),"")</f>
      </c>
      <c r="G148">
        <f>IF($B148&lt;&gt;"",IFERROR(IF(EXACT(LOWER($D148),LOWER(VLOOKUP($B148,Ingredients!$A$2:$C$500,2,FALSE))),"OK","CHECK UNIT"),"NOT FOUND"),"")</f>
      </c>
    </row>
    <row r="149" spans="5:7" x14ac:dyDescent="0.25">
      <c r="E149" s="2">
        <f>IF($B149&lt;&gt;"",IFERROR(VLOOKUP($B149,Ingredients!$A$2:$C$500,3,FALSE),""),"")</f>
      </c>
      <c r="F149" s="3">
        <f>IF(AND($B149&lt;&gt;"",$C149&lt;&gt;""),IFERROR($C149*$E149,""),"")</f>
      </c>
      <c r="G149">
        <f>IF($B149&lt;&gt;"",IFERROR(IF(EXACT(LOWER($D149),LOWER(VLOOKUP($B149,Ingredients!$A$2:$C$500,2,FALSE))),"OK","CHECK UNIT"),"NOT FOUND"),"")</f>
      </c>
    </row>
    <row r="150" spans="5:7" x14ac:dyDescent="0.25">
      <c r="E150" s="2">
        <f>IF($B150&lt;&gt;"",IFERROR(VLOOKUP($B150,Ingredients!$A$2:$C$500,3,FALSE),""),"")</f>
      </c>
      <c r="F150" s="3">
        <f>IF(AND($B150&lt;&gt;"",$C150&lt;&gt;""),IFERROR($C150*$E150,""),"")</f>
      </c>
      <c r="G150">
        <f>IF($B150&lt;&gt;"",IFERROR(IF(EXACT(LOWER($D150),LOWER(VLOOKUP($B150,Ingredients!$A$2:$C$500,2,FALSE))),"OK","CHECK UNIT"),"NOT FOUND"),"")</f>
      </c>
    </row>
    <row r="151" spans="5:7" x14ac:dyDescent="0.25">
      <c r="E151" s="2">
        <f>IF($B151&lt;&gt;"",IFERROR(VLOOKUP($B151,Ingredients!$A$2:$C$500,3,FALSE),""),"")</f>
      </c>
      <c r="F151" s="3">
        <f>IF(AND($B151&lt;&gt;"",$C151&lt;&gt;""),IFERROR($C151*$E151,""),"")</f>
      </c>
      <c r="G151">
        <f>IF($B151&lt;&gt;"",IFERROR(IF(EXACT(LOWER($D151),LOWER(VLOOKUP($B151,Ingredients!$A$2:$C$500,2,FALSE))),"OK","CHECK UNIT"),"NOT FOUND"),"")</f>
      </c>
    </row>
    <row r="152" spans="5:7" x14ac:dyDescent="0.25">
      <c r="E152" s="2">
        <f>IF($B152&lt;&gt;"",IFERROR(VLOOKUP($B152,Ingredients!$A$2:$C$500,3,FALSE),""),"")</f>
      </c>
      <c r="F152" s="3">
        <f>IF(AND($B152&lt;&gt;"",$C152&lt;&gt;""),IFERROR($C152*$E152,""),"")</f>
      </c>
      <c r="G152">
        <f>IF($B152&lt;&gt;"",IFERROR(IF(EXACT(LOWER($D152),LOWER(VLOOKUP($B152,Ingredients!$A$2:$C$500,2,FALSE))),"OK","CHECK UNIT"),"NOT FOUND"),"")</f>
      </c>
    </row>
    <row r="153" spans="5:7" x14ac:dyDescent="0.25">
      <c r="E153" s="2">
        <f>IF($B153&lt;&gt;"",IFERROR(VLOOKUP($B153,Ingredients!$A$2:$C$500,3,FALSE),""),"")</f>
      </c>
      <c r="F153" s="3">
        <f>IF(AND($B153&lt;&gt;"",$C153&lt;&gt;""),IFERROR($C153*$E153,""),"")</f>
      </c>
      <c r="G153">
        <f>IF($B153&lt;&gt;"",IFERROR(IF(EXACT(LOWER($D153),LOWER(VLOOKUP($B153,Ingredients!$A$2:$C$500,2,FALSE))),"OK","CHECK UNIT"),"NOT FOUND"),"")</f>
      </c>
    </row>
    <row r="154" spans="5:7" x14ac:dyDescent="0.25">
      <c r="E154" s="2">
        <f>IF($B154&lt;&gt;"",IFERROR(VLOOKUP($B154,Ingredients!$A$2:$C$500,3,FALSE),""),"")</f>
      </c>
      <c r="F154" s="3">
        <f>IF(AND($B154&lt;&gt;"",$C154&lt;&gt;""),IFERROR($C154*$E154,""),"")</f>
      </c>
      <c r="G154">
        <f>IF($B154&lt;&gt;"",IFERROR(IF(EXACT(LOWER($D154),LOWER(VLOOKUP($B154,Ingredients!$A$2:$C$500,2,FALSE))),"OK","CHECK UNIT"),"NOT FOUND"),"")</f>
      </c>
    </row>
    <row r="155" spans="5:7" x14ac:dyDescent="0.25">
      <c r="E155" s="2">
        <f>IF($B155&lt;&gt;"",IFERROR(VLOOKUP($B155,Ingredients!$A$2:$C$500,3,FALSE),""),"")</f>
      </c>
      <c r="F155" s="3">
        <f>IF(AND($B155&lt;&gt;"",$C155&lt;&gt;""),IFERROR($C155*$E155,""),"")</f>
      </c>
      <c r="G155">
        <f>IF($B155&lt;&gt;"",IFERROR(IF(EXACT(LOWER($D155),LOWER(VLOOKUP($B155,Ingredients!$A$2:$C$500,2,FALSE))),"OK","CHECK UNIT"),"NOT FOUND"),"")</f>
      </c>
    </row>
    <row r="156" spans="5:7" x14ac:dyDescent="0.25">
      <c r="E156" s="2">
        <f>IF($B156&lt;&gt;"",IFERROR(VLOOKUP($B156,Ingredients!$A$2:$C$500,3,FALSE),""),"")</f>
      </c>
      <c r="F156" s="3">
        <f>IF(AND($B156&lt;&gt;"",$C156&lt;&gt;""),IFERROR($C156*$E156,""),"")</f>
      </c>
      <c r="G156">
        <f>IF($B156&lt;&gt;"",IFERROR(IF(EXACT(LOWER($D156),LOWER(VLOOKUP($B156,Ingredients!$A$2:$C$500,2,FALSE))),"OK","CHECK UNIT"),"NOT FOUND"),"")</f>
      </c>
    </row>
    <row r="157" spans="5:7" x14ac:dyDescent="0.25">
      <c r="E157" s="2">
        <f>IF($B157&lt;&gt;"",IFERROR(VLOOKUP($B157,Ingredients!$A$2:$C$500,3,FALSE),""),"")</f>
      </c>
      <c r="F157" s="3">
        <f>IF(AND($B157&lt;&gt;"",$C157&lt;&gt;""),IFERROR($C157*$E157,""),"")</f>
      </c>
      <c r="G157">
        <f>IF($B157&lt;&gt;"",IFERROR(IF(EXACT(LOWER($D157),LOWER(VLOOKUP($B157,Ingredients!$A$2:$C$500,2,FALSE))),"OK","CHECK UNIT"),"NOT FOUND"),"")</f>
      </c>
    </row>
    <row r="158" spans="5:7" x14ac:dyDescent="0.25">
      <c r="E158" s="2">
        <f>IF($B158&lt;&gt;"",IFERROR(VLOOKUP($B158,Ingredients!$A$2:$C$500,3,FALSE),""),"")</f>
      </c>
      <c r="F158" s="3">
        <f>IF(AND($B158&lt;&gt;"",$C158&lt;&gt;""),IFERROR($C158*$E158,""),"")</f>
      </c>
      <c r="G158">
        <f>IF($B158&lt;&gt;"",IFERROR(IF(EXACT(LOWER($D158),LOWER(VLOOKUP($B158,Ingredients!$A$2:$C$500,2,FALSE))),"OK","CHECK UNIT"),"NOT FOUND"),"")</f>
      </c>
    </row>
    <row r="159" spans="5:7" x14ac:dyDescent="0.25">
      <c r="E159" s="2">
        <f>IF($B159&lt;&gt;"",IFERROR(VLOOKUP($B159,Ingredients!$A$2:$C$500,3,FALSE),""),"")</f>
      </c>
      <c r="F159" s="3">
        <f>IF(AND($B159&lt;&gt;"",$C159&lt;&gt;""),IFERROR($C159*$E159,""),"")</f>
      </c>
      <c r="G159">
        <f>IF($B159&lt;&gt;"",IFERROR(IF(EXACT(LOWER($D159),LOWER(VLOOKUP($B159,Ingredients!$A$2:$C$500,2,FALSE))),"OK","CHECK UNIT"),"NOT FOUND"),"")</f>
      </c>
    </row>
    <row r="160" spans="5:7" x14ac:dyDescent="0.25">
      <c r="E160" s="2">
        <f>IF($B160&lt;&gt;"",IFERROR(VLOOKUP($B160,Ingredients!$A$2:$C$500,3,FALSE),""),"")</f>
      </c>
      <c r="F160" s="3">
        <f>IF(AND($B160&lt;&gt;"",$C160&lt;&gt;""),IFERROR($C160*$E160,""),"")</f>
      </c>
      <c r="G160">
        <f>IF($B160&lt;&gt;"",IFERROR(IF(EXACT(LOWER($D160),LOWER(VLOOKUP($B160,Ingredients!$A$2:$C$500,2,FALSE))),"OK","CHECK UNIT"),"NOT FOUND"),"")</f>
      </c>
    </row>
    <row r="161" spans="5:7" x14ac:dyDescent="0.25">
      <c r="E161" s="2">
        <f>IF($B161&lt;&gt;"",IFERROR(VLOOKUP($B161,Ingredients!$A$2:$C$500,3,FALSE),""),"")</f>
      </c>
      <c r="F161" s="3">
        <f>IF(AND($B161&lt;&gt;"",$C161&lt;&gt;""),IFERROR($C161*$E161,""),"")</f>
      </c>
      <c r="G161">
        <f>IF($B161&lt;&gt;"",IFERROR(IF(EXACT(LOWER($D161),LOWER(VLOOKUP($B161,Ingredients!$A$2:$C$500,2,FALSE))),"OK","CHECK UNIT"),"NOT FOUND"),"")</f>
      </c>
    </row>
    <row r="162" spans="5:7" x14ac:dyDescent="0.25">
      <c r="E162" s="2">
        <f>IF($B162&lt;&gt;"",IFERROR(VLOOKUP($B162,Ingredients!$A$2:$C$500,3,FALSE),""),"")</f>
      </c>
      <c r="F162" s="3">
        <f>IF(AND($B162&lt;&gt;"",$C162&lt;&gt;""),IFERROR($C162*$E162,""),"")</f>
      </c>
      <c r="G162">
        <f>IF($B162&lt;&gt;"",IFERROR(IF(EXACT(LOWER($D162),LOWER(VLOOKUP($B162,Ingredients!$A$2:$C$500,2,FALSE))),"OK","CHECK UNIT"),"NOT FOUND"),"")</f>
      </c>
    </row>
    <row r="163" spans="5:7" x14ac:dyDescent="0.25">
      <c r="E163" s="2">
        <f>IF($B163&lt;&gt;"",IFERROR(VLOOKUP($B163,Ingredients!$A$2:$C$500,3,FALSE),""),"")</f>
      </c>
      <c r="F163" s="3">
        <f>IF(AND($B163&lt;&gt;"",$C163&lt;&gt;""),IFERROR($C163*$E163,""),"")</f>
      </c>
      <c r="G163">
        <f>IF($B163&lt;&gt;"",IFERROR(IF(EXACT(LOWER($D163),LOWER(VLOOKUP($B163,Ingredients!$A$2:$C$500,2,FALSE))),"OK","CHECK UNIT"),"NOT FOUND"),"")</f>
      </c>
    </row>
    <row r="164" spans="5:7" x14ac:dyDescent="0.25">
      <c r="E164" s="2">
        <f>IF($B164&lt;&gt;"",IFERROR(VLOOKUP($B164,Ingredients!$A$2:$C$500,3,FALSE),""),"")</f>
      </c>
      <c r="F164" s="3">
        <f>IF(AND($B164&lt;&gt;"",$C164&lt;&gt;""),IFERROR($C164*$E164,""),"")</f>
      </c>
      <c r="G164">
        <f>IF($B164&lt;&gt;"",IFERROR(IF(EXACT(LOWER($D164),LOWER(VLOOKUP($B164,Ingredients!$A$2:$C$500,2,FALSE))),"OK","CHECK UNIT"),"NOT FOUND"),"")</f>
      </c>
    </row>
    <row r="165" spans="5:7" x14ac:dyDescent="0.25">
      <c r="E165" s="2">
        <f>IF($B165&lt;&gt;"",IFERROR(VLOOKUP($B165,Ingredients!$A$2:$C$500,3,FALSE),""),"")</f>
      </c>
      <c r="F165" s="3">
        <f>IF(AND($B165&lt;&gt;"",$C165&lt;&gt;""),IFERROR($C165*$E165,""),"")</f>
      </c>
      <c r="G165">
        <f>IF($B165&lt;&gt;"",IFERROR(IF(EXACT(LOWER($D165),LOWER(VLOOKUP($B165,Ingredients!$A$2:$C$500,2,FALSE))),"OK","CHECK UNIT"),"NOT FOUND"),"")</f>
      </c>
    </row>
    <row r="166" spans="5:7" x14ac:dyDescent="0.25">
      <c r="E166" s="2">
        <f>IF($B166&lt;&gt;"",IFERROR(VLOOKUP($B166,Ingredients!$A$2:$C$500,3,FALSE),""),"")</f>
      </c>
      <c r="F166" s="3">
        <f>IF(AND($B166&lt;&gt;"",$C166&lt;&gt;""),IFERROR($C166*$E166,""),"")</f>
      </c>
      <c r="G166">
        <f>IF($B166&lt;&gt;"",IFERROR(IF(EXACT(LOWER($D166),LOWER(VLOOKUP($B166,Ingredients!$A$2:$C$500,2,FALSE))),"OK","CHECK UNIT"),"NOT FOUND"),"")</f>
      </c>
    </row>
    <row r="167" spans="5:7" x14ac:dyDescent="0.25">
      <c r="E167" s="2">
        <f>IF($B167&lt;&gt;"",IFERROR(VLOOKUP($B167,Ingredients!$A$2:$C$500,3,FALSE),""),"")</f>
      </c>
      <c r="F167" s="3">
        <f>IF(AND($B167&lt;&gt;"",$C167&lt;&gt;""),IFERROR($C167*$E167,""),"")</f>
      </c>
      <c r="G167">
        <f>IF($B167&lt;&gt;"",IFERROR(IF(EXACT(LOWER($D167),LOWER(VLOOKUP($B167,Ingredients!$A$2:$C$500,2,FALSE))),"OK","CHECK UNIT"),"NOT FOUND"),"")</f>
      </c>
    </row>
    <row r="168" spans="5:7" x14ac:dyDescent="0.25">
      <c r="E168" s="2">
        <f>IF($B168&lt;&gt;"",IFERROR(VLOOKUP($B168,Ingredients!$A$2:$C$500,3,FALSE),""),"")</f>
      </c>
      <c r="F168" s="3">
        <f>IF(AND($B168&lt;&gt;"",$C168&lt;&gt;""),IFERROR($C168*$E168,""),"")</f>
      </c>
      <c r="G168">
        <f>IF($B168&lt;&gt;"",IFERROR(IF(EXACT(LOWER($D168),LOWER(VLOOKUP($B168,Ingredients!$A$2:$C$500,2,FALSE))),"OK","CHECK UNIT"),"NOT FOUND"),"")</f>
      </c>
    </row>
    <row r="169" spans="5:7" x14ac:dyDescent="0.25">
      <c r="E169" s="2">
        <f>IF($B169&lt;&gt;"",IFERROR(VLOOKUP($B169,Ingredients!$A$2:$C$500,3,FALSE),""),"")</f>
      </c>
      <c r="F169" s="3">
        <f>IF(AND($B169&lt;&gt;"",$C169&lt;&gt;""),IFERROR($C169*$E169,""),"")</f>
      </c>
      <c r="G169">
        <f>IF($B169&lt;&gt;"",IFERROR(IF(EXACT(LOWER($D169),LOWER(VLOOKUP($B169,Ingredients!$A$2:$C$500,2,FALSE))),"OK","CHECK UNIT"),"NOT FOUND"),"")</f>
      </c>
    </row>
    <row r="170" spans="5:7" x14ac:dyDescent="0.25">
      <c r="E170" s="2">
        <f>IF($B170&lt;&gt;"",IFERROR(VLOOKUP($B170,Ingredients!$A$2:$C$500,3,FALSE),""),"")</f>
      </c>
      <c r="F170" s="3">
        <f>IF(AND($B170&lt;&gt;"",$C170&lt;&gt;""),IFERROR($C170*$E170,""),"")</f>
      </c>
      <c r="G170">
        <f>IF($B170&lt;&gt;"",IFERROR(IF(EXACT(LOWER($D170),LOWER(VLOOKUP($B170,Ingredients!$A$2:$C$500,2,FALSE))),"OK","CHECK UNIT"),"NOT FOUND"),"")</f>
      </c>
    </row>
    <row r="171" spans="5:7" x14ac:dyDescent="0.25">
      <c r="E171" s="2">
        <f>IF($B171&lt;&gt;"",IFERROR(VLOOKUP($B171,Ingredients!$A$2:$C$500,3,FALSE),""),"")</f>
      </c>
      <c r="F171" s="3">
        <f>IF(AND($B171&lt;&gt;"",$C171&lt;&gt;""),IFERROR($C171*$E171,""),"")</f>
      </c>
      <c r="G171">
        <f>IF($B171&lt;&gt;"",IFERROR(IF(EXACT(LOWER($D171),LOWER(VLOOKUP($B171,Ingredients!$A$2:$C$500,2,FALSE))),"OK","CHECK UNIT"),"NOT FOUND"),"")</f>
      </c>
    </row>
    <row r="172" spans="5:7" x14ac:dyDescent="0.25">
      <c r="E172" s="2">
        <f>IF($B172&lt;&gt;"",IFERROR(VLOOKUP($B172,Ingredients!$A$2:$C$500,3,FALSE),""),"")</f>
      </c>
      <c r="F172" s="3">
        <f>IF(AND($B172&lt;&gt;"",$C172&lt;&gt;""),IFERROR($C172*$E172,""),"")</f>
      </c>
      <c r="G172">
        <f>IF($B172&lt;&gt;"",IFERROR(IF(EXACT(LOWER($D172),LOWER(VLOOKUP($B172,Ingredients!$A$2:$C$500,2,FALSE))),"OK","CHECK UNIT"),"NOT FOUND"),"")</f>
      </c>
    </row>
    <row r="173" spans="5:7" x14ac:dyDescent="0.25">
      <c r="E173" s="2">
        <f>IF($B173&lt;&gt;"",IFERROR(VLOOKUP($B173,Ingredients!$A$2:$C$500,3,FALSE),""),"")</f>
      </c>
      <c r="F173" s="3">
        <f>IF(AND($B173&lt;&gt;"",$C173&lt;&gt;""),IFERROR($C173*$E173,""),"")</f>
      </c>
      <c r="G173">
        <f>IF($B173&lt;&gt;"",IFERROR(IF(EXACT(LOWER($D173),LOWER(VLOOKUP($B173,Ingredients!$A$2:$C$500,2,FALSE))),"OK","CHECK UNIT"),"NOT FOUND"),"")</f>
      </c>
    </row>
    <row r="174" spans="5:7" x14ac:dyDescent="0.25">
      <c r="E174" s="2">
        <f>IF($B174&lt;&gt;"",IFERROR(VLOOKUP($B174,Ingredients!$A$2:$C$500,3,FALSE),""),"")</f>
      </c>
      <c r="F174" s="3">
        <f>IF(AND($B174&lt;&gt;"",$C174&lt;&gt;""),IFERROR($C174*$E174,""),"")</f>
      </c>
      <c r="G174">
        <f>IF($B174&lt;&gt;"",IFERROR(IF(EXACT(LOWER($D174),LOWER(VLOOKUP($B174,Ingredients!$A$2:$C$500,2,FALSE))),"OK","CHECK UNIT"),"NOT FOUND"),"")</f>
      </c>
    </row>
    <row r="175" spans="5:7" x14ac:dyDescent="0.25">
      <c r="E175" s="2">
        <f>IF($B175&lt;&gt;"",IFERROR(VLOOKUP($B175,Ingredients!$A$2:$C$500,3,FALSE),""),"")</f>
      </c>
      <c r="F175" s="3">
        <f>IF(AND($B175&lt;&gt;"",$C175&lt;&gt;""),IFERROR($C175*$E175,""),"")</f>
      </c>
      <c r="G175">
        <f>IF($B175&lt;&gt;"",IFERROR(IF(EXACT(LOWER($D175),LOWER(VLOOKUP($B175,Ingredients!$A$2:$C$500,2,FALSE))),"OK","CHECK UNIT"),"NOT FOUND"),"")</f>
      </c>
    </row>
    <row r="176" spans="5:7" x14ac:dyDescent="0.25">
      <c r="E176" s="2">
        <f>IF($B176&lt;&gt;"",IFERROR(VLOOKUP($B176,Ingredients!$A$2:$C$500,3,FALSE),""),"")</f>
      </c>
      <c r="F176" s="3">
        <f>IF(AND($B176&lt;&gt;"",$C176&lt;&gt;""),IFERROR($C176*$E176,""),"")</f>
      </c>
      <c r="G176">
        <f>IF($B176&lt;&gt;"",IFERROR(IF(EXACT(LOWER($D176),LOWER(VLOOKUP($B176,Ingredients!$A$2:$C$500,2,FALSE))),"OK","CHECK UNIT"),"NOT FOUND"),"")</f>
      </c>
    </row>
    <row r="177" spans="5:7" x14ac:dyDescent="0.25">
      <c r="E177" s="2">
        <f>IF($B177&lt;&gt;"",IFERROR(VLOOKUP($B177,Ingredients!$A$2:$C$500,3,FALSE),""),"")</f>
      </c>
      <c r="F177" s="3">
        <f>IF(AND($B177&lt;&gt;"",$C177&lt;&gt;""),IFERROR($C177*$E177,""),"")</f>
      </c>
      <c r="G177">
        <f>IF($B177&lt;&gt;"",IFERROR(IF(EXACT(LOWER($D177),LOWER(VLOOKUP($B177,Ingredients!$A$2:$C$500,2,FALSE))),"OK","CHECK UNIT"),"NOT FOUND"),"")</f>
      </c>
    </row>
    <row r="178" spans="5:7" x14ac:dyDescent="0.25">
      <c r="E178" s="2">
        <f>IF($B178&lt;&gt;"",IFERROR(VLOOKUP($B178,Ingredients!$A$2:$C$500,3,FALSE),""),"")</f>
      </c>
      <c r="F178" s="3">
        <f>IF(AND($B178&lt;&gt;"",$C178&lt;&gt;""),IFERROR($C178*$E178,""),"")</f>
      </c>
      <c r="G178">
        <f>IF($B178&lt;&gt;"",IFERROR(IF(EXACT(LOWER($D178),LOWER(VLOOKUP($B178,Ingredients!$A$2:$C$500,2,FALSE))),"OK","CHECK UNIT"),"NOT FOUND"),"")</f>
      </c>
    </row>
    <row r="179" spans="5:7" x14ac:dyDescent="0.25">
      <c r="E179" s="2">
        <f>IF($B179&lt;&gt;"",IFERROR(VLOOKUP($B179,Ingredients!$A$2:$C$500,3,FALSE),""),"")</f>
      </c>
      <c r="F179" s="3">
        <f>IF(AND($B179&lt;&gt;"",$C179&lt;&gt;""),IFERROR($C179*$E179,""),"")</f>
      </c>
      <c r="G179">
        <f>IF($B179&lt;&gt;"",IFERROR(IF(EXACT(LOWER($D179),LOWER(VLOOKUP($B179,Ingredients!$A$2:$C$500,2,FALSE))),"OK","CHECK UNIT"),"NOT FOUND"),"")</f>
      </c>
    </row>
    <row r="180" spans="5:7" x14ac:dyDescent="0.25">
      <c r="E180" s="2">
        <f>IF($B180&lt;&gt;"",IFERROR(VLOOKUP($B180,Ingredients!$A$2:$C$500,3,FALSE),""),"")</f>
      </c>
      <c r="F180" s="3">
        <f>IF(AND($B180&lt;&gt;"",$C180&lt;&gt;""),IFERROR($C180*$E180,""),"")</f>
      </c>
      <c r="G180">
        <f>IF($B180&lt;&gt;"",IFERROR(IF(EXACT(LOWER($D180),LOWER(VLOOKUP($B180,Ingredients!$A$2:$C$500,2,FALSE))),"OK","CHECK UNIT"),"NOT FOUND"),"")</f>
      </c>
    </row>
    <row r="181" spans="5:7" x14ac:dyDescent="0.25">
      <c r="E181" s="2">
        <f>IF($B181&lt;&gt;"",IFERROR(VLOOKUP($B181,Ingredients!$A$2:$C$500,3,FALSE),""),"")</f>
      </c>
      <c r="F181" s="3">
        <f>IF(AND($B181&lt;&gt;"",$C181&lt;&gt;""),IFERROR($C181*$E181,""),"")</f>
      </c>
      <c r="G181">
        <f>IF($B181&lt;&gt;"",IFERROR(IF(EXACT(LOWER($D181),LOWER(VLOOKUP($B181,Ingredients!$A$2:$C$500,2,FALSE))),"OK","CHECK UNIT"),"NOT FOUND"),"")</f>
      </c>
    </row>
    <row r="182" spans="5:7" x14ac:dyDescent="0.25">
      <c r="E182" s="2">
        <f>IF($B182&lt;&gt;"",IFERROR(VLOOKUP($B182,Ingredients!$A$2:$C$500,3,FALSE),""),"")</f>
      </c>
      <c r="F182" s="3">
        <f>IF(AND($B182&lt;&gt;"",$C182&lt;&gt;""),IFERROR($C182*$E182,""),"")</f>
      </c>
      <c r="G182">
        <f>IF($B182&lt;&gt;"",IFERROR(IF(EXACT(LOWER($D182),LOWER(VLOOKUP($B182,Ingredients!$A$2:$C$500,2,FALSE))),"OK","CHECK UNIT"),"NOT FOUND"),"")</f>
      </c>
    </row>
    <row r="183" spans="5:7" x14ac:dyDescent="0.25">
      <c r="E183" s="2">
        <f>IF($B183&lt;&gt;"",IFERROR(VLOOKUP($B183,Ingredients!$A$2:$C$500,3,FALSE),""),"")</f>
      </c>
      <c r="F183" s="3">
        <f>IF(AND($B183&lt;&gt;"",$C183&lt;&gt;""),IFERROR($C183*$E183,""),"")</f>
      </c>
      <c r="G183">
        <f>IF($B183&lt;&gt;"",IFERROR(IF(EXACT(LOWER($D183),LOWER(VLOOKUP($B183,Ingredients!$A$2:$C$500,2,FALSE))),"OK","CHECK UNIT"),"NOT FOUND"),"")</f>
      </c>
    </row>
    <row r="184" spans="5:7" x14ac:dyDescent="0.25">
      <c r="E184" s="2">
        <f>IF($B184&lt;&gt;"",IFERROR(VLOOKUP($B184,Ingredients!$A$2:$C$500,3,FALSE),""),"")</f>
      </c>
      <c r="F184" s="3">
        <f>IF(AND($B184&lt;&gt;"",$C184&lt;&gt;""),IFERROR($C184*$E184,""),"")</f>
      </c>
      <c r="G184">
        <f>IF($B184&lt;&gt;"",IFERROR(IF(EXACT(LOWER($D184),LOWER(VLOOKUP($B184,Ingredients!$A$2:$C$500,2,FALSE))),"OK","CHECK UNIT"),"NOT FOUND"),"")</f>
      </c>
    </row>
    <row r="185" spans="5:7" x14ac:dyDescent="0.25">
      <c r="E185" s="2">
        <f>IF($B185&lt;&gt;"",IFERROR(VLOOKUP($B185,Ingredients!$A$2:$C$500,3,FALSE),""),"")</f>
      </c>
      <c r="F185" s="3">
        <f>IF(AND($B185&lt;&gt;"",$C185&lt;&gt;""),IFERROR($C185*$E185,""),"")</f>
      </c>
      <c r="G185">
        <f>IF($B185&lt;&gt;"",IFERROR(IF(EXACT(LOWER($D185),LOWER(VLOOKUP($B185,Ingredients!$A$2:$C$500,2,FALSE))),"OK","CHECK UNIT"),"NOT FOUND"),"")</f>
      </c>
    </row>
    <row r="186" spans="5:7" x14ac:dyDescent="0.25">
      <c r="E186" s="2">
        <f>IF($B186&lt;&gt;"",IFERROR(VLOOKUP($B186,Ingredients!$A$2:$C$500,3,FALSE),""),"")</f>
      </c>
      <c r="F186" s="3">
        <f>IF(AND($B186&lt;&gt;"",$C186&lt;&gt;""),IFERROR($C186*$E186,""),"")</f>
      </c>
      <c r="G186">
        <f>IF($B186&lt;&gt;"",IFERROR(IF(EXACT(LOWER($D186),LOWER(VLOOKUP($B186,Ingredients!$A$2:$C$500,2,FALSE))),"OK","CHECK UNIT"),"NOT FOUND"),"")</f>
      </c>
    </row>
    <row r="187" spans="5:7" x14ac:dyDescent="0.25">
      <c r="E187" s="2">
        <f>IF($B187&lt;&gt;"",IFERROR(VLOOKUP($B187,Ingredients!$A$2:$C$500,3,FALSE),""),"")</f>
      </c>
      <c r="F187" s="3">
        <f>IF(AND($B187&lt;&gt;"",$C187&lt;&gt;""),IFERROR($C187*$E187,""),"")</f>
      </c>
      <c r="G187">
        <f>IF($B187&lt;&gt;"",IFERROR(IF(EXACT(LOWER($D187),LOWER(VLOOKUP($B187,Ingredients!$A$2:$C$500,2,FALSE))),"OK","CHECK UNIT"),"NOT FOUND"),"")</f>
      </c>
    </row>
    <row r="188" spans="5:7" x14ac:dyDescent="0.25">
      <c r="E188" s="2">
        <f>IF($B188&lt;&gt;"",IFERROR(VLOOKUP($B188,Ingredients!$A$2:$C$500,3,FALSE),""),"")</f>
      </c>
      <c r="F188" s="3">
        <f>IF(AND($B188&lt;&gt;"",$C188&lt;&gt;""),IFERROR($C188*$E188,""),"")</f>
      </c>
      <c r="G188">
        <f>IF($B188&lt;&gt;"",IFERROR(IF(EXACT(LOWER($D188),LOWER(VLOOKUP($B188,Ingredients!$A$2:$C$500,2,FALSE))),"OK","CHECK UNIT"),"NOT FOUND"),"")</f>
      </c>
    </row>
    <row r="189" spans="5:7" x14ac:dyDescent="0.25">
      <c r="E189" s="2">
        <f>IF($B189&lt;&gt;"",IFERROR(VLOOKUP($B189,Ingredients!$A$2:$C$500,3,FALSE),""),"")</f>
      </c>
      <c r="F189" s="3">
        <f>IF(AND($B189&lt;&gt;"",$C189&lt;&gt;""),IFERROR($C189*$E189,""),"")</f>
      </c>
      <c r="G189">
        <f>IF($B189&lt;&gt;"",IFERROR(IF(EXACT(LOWER($D189),LOWER(VLOOKUP($B189,Ingredients!$A$2:$C$500,2,FALSE))),"OK","CHECK UNIT"),"NOT FOUND"),"")</f>
      </c>
    </row>
    <row r="190" spans="5:7" x14ac:dyDescent="0.25">
      <c r="E190" s="2">
        <f>IF($B190&lt;&gt;"",IFERROR(VLOOKUP($B190,Ingredients!$A$2:$C$500,3,FALSE),""),"")</f>
      </c>
      <c r="F190" s="3">
        <f>IF(AND($B190&lt;&gt;"",$C190&lt;&gt;""),IFERROR($C190*$E190,""),"")</f>
      </c>
      <c r="G190">
        <f>IF($B190&lt;&gt;"",IFERROR(IF(EXACT(LOWER($D190),LOWER(VLOOKUP($B190,Ingredients!$A$2:$C$500,2,FALSE))),"OK","CHECK UNIT"),"NOT FOUND"),"")</f>
      </c>
    </row>
    <row r="191" spans="5:7" x14ac:dyDescent="0.25">
      <c r="E191" s="2">
        <f>IF($B191&lt;&gt;"",IFERROR(VLOOKUP($B191,Ingredients!$A$2:$C$500,3,FALSE),""),"")</f>
      </c>
      <c r="F191" s="3">
        <f>IF(AND($B191&lt;&gt;"",$C191&lt;&gt;""),IFERROR($C191*$E191,""),"")</f>
      </c>
      <c r="G191">
        <f>IF($B191&lt;&gt;"",IFERROR(IF(EXACT(LOWER($D191),LOWER(VLOOKUP($B191,Ingredients!$A$2:$C$500,2,FALSE))),"OK","CHECK UNIT"),"NOT FOUND"),"")</f>
      </c>
    </row>
    <row r="192" spans="5:7" x14ac:dyDescent="0.25">
      <c r="E192" s="2">
        <f>IF($B192&lt;&gt;"",IFERROR(VLOOKUP($B192,Ingredients!$A$2:$C$500,3,FALSE),""),"")</f>
      </c>
      <c r="F192" s="3">
        <f>IF(AND($B192&lt;&gt;"",$C192&lt;&gt;""),IFERROR($C192*$E192,""),"")</f>
      </c>
      <c r="G192">
        <f>IF($B192&lt;&gt;"",IFERROR(IF(EXACT(LOWER($D192),LOWER(VLOOKUP($B192,Ingredients!$A$2:$C$500,2,FALSE))),"OK","CHECK UNIT"),"NOT FOUND"),"")</f>
      </c>
    </row>
    <row r="193" spans="5:7" x14ac:dyDescent="0.25">
      <c r="E193" s="2">
        <f>IF($B193&lt;&gt;"",IFERROR(VLOOKUP($B193,Ingredients!$A$2:$C$500,3,FALSE),""),"")</f>
      </c>
      <c r="F193" s="3">
        <f>IF(AND($B193&lt;&gt;"",$C193&lt;&gt;""),IFERROR($C193*$E193,""),"")</f>
      </c>
      <c r="G193">
        <f>IF($B193&lt;&gt;"",IFERROR(IF(EXACT(LOWER($D193),LOWER(VLOOKUP($B193,Ingredients!$A$2:$C$500,2,FALSE))),"OK","CHECK UNIT"),"NOT FOUND"),"")</f>
      </c>
    </row>
    <row r="194" spans="5:7" x14ac:dyDescent="0.25">
      <c r="E194" s="2">
        <f>IF($B194&lt;&gt;"",IFERROR(VLOOKUP($B194,Ingredients!$A$2:$C$500,3,FALSE),""),"")</f>
      </c>
      <c r="F194" s="3">
        <f>IF(AND($B194&lt;&gt;"",$C194&lt;&gt;""),IFERROR($C194*$E194,""),"")</f>
      </c>
      <c r="G194">
        <f>IF($B194&lt;&gt;"",IFERROR(IF(EXACT(LOWER($D194),LOWER(VLOOKUP($B194,Ingredients!$A$2:$C$500,2,FALSE))),"OK","CHECK UNIT"),"NOT FOUND"),"")</f>
      </c>
    </row>
    <row r="195" spans="5:7" x14ac:dyDescent="0.25">
      <c r="E195" s="2">
        <f>IF($B195&lt;&gt;"",IFERROR(VLOOKUP($B195,Ingredients!$A$2:$C$500,3,FALSE),""),"")</f>
      </c>
      <c r="F195" s="3">
        <f>IF(AND($B195&lt;&gt;"",$C195&lt;&gt;""),IFERROR($C195*$E195,""),"")</f>
      </c>
      <c r="G195">
        <f>IF($B195&lt;&gt;"",IFERROR(IF(EXACT(LOWER($D195),LOWER(VLOOKUP($B195,Ingredients!$A$2:$C$500,2,FALSE))),"OK","CHECK UNIT"),"NOT FOUND"),"")</f>
      </c>
    </row>
    <row r="196" spans="5:7" x14ac:dyDescent="0.25">
      <c r="E196" s="2">
        <f>IF($B196&lt;&gt;"",IFERROR(VLOOKUP($B196,Ingredients!$A$2:$C$500,3,FALSE),""),"")</f>
      </c>
      <c r="F196" s="3">
        <f>IF(AND($B196&lt;&gt;"",$C196&lt;&gt;""),IFERROR($C196*$E196,""),"")</f>
      </c>
      <c r="G196">
        <f>IF($B196&lt;&gt;"",IFERROR(IF(EXACT(LOWER($D196),LOWER(VLOOKUP($B196,Ingredients!$A$2:$C$500,2,FALSE))),"OK","CHECK UNIT"),"NOT FOUND"),"")</f>
      </c>
    </row>
    <row r="197" spans="5:7" x14ac:dyDescent="0.25">
      <c r="E197" s="2">
        <f>IF($B197&lt;&gt;"",IFERROR(VLOOKUP($B197,Ingredients!$A$2:$C$500,3,FALSE),""),"")</f>
      </c>
      <c r="F197" s="3">
        <f>IF(AND($B197&lt;&gt;"",$C197&lt;&gt;""),IFERROR($C197*$E197,""),"")</f>
      </c>
      <c r="G197">
        <f>IF($B197&lt;&gt;"",IFERROR(IF(EXACT(LOWER($D197),LOWER(VLOOKUP($B197,Ingredients!$A$2:$C$500,2,FALSE))),"OK","CHECK UNIT"),"NOT FOUND"),"")</f>
      </c>
    </row>
    <row r="198" spans="5:7" x14ac:dyDescent="0.25">
      <c r="E198" s="2">
        <f>IF($B198&lt;&gt;"",IFERROR(VLOOKUP($B198,Ingredients!$A$2:$C$500,3,FALSE),""),"")</f>
      </c>
      <c r="F198" s="3">
        <f>IF(AND($B198&lt;&gt;"",$C198&lt;&gt;""),IFERROR($C198*$E198,""),"")</f>
      </c>
      <c r="G198">
        <f>IF($B198&lt;&gt;"",IFERROR(IF(EXACT(LOWER($D198),LOWER(VLOOKUP($B198,Ingredients!$A$2:$C$500,2,FALSE))),"OK","CHECK UNIT"),"NOT FOUND"),"")</f>
      </c>
    </row>
    <row r="199" spans="5:7" x14ac:dyDescent="0.25">
      <c r="E199" s="2">
        <f>IF($B199&lt;&gt;"",IFERROR(VLOOKUP($B199,Ingredients!$A$2:$C$500,3,FALSE),""),"")</f>
      </c>
      <c r="F199" s="3">
        <f>IF(AND($B199&lt;&gt;"",$C199&lt;&gt;""),IFERROR($C199*$E199,""),"")</f>
      </c>
      <c r="G199">
        <f>IF($B199&lt;&gt;"",IFERROR(IF(EXACT(LOWER($D199),LOWER(VLOOKUP($B199,Ingredients!$A$2:$C$500,2,FALSE))),"OK","CHECK UNIT"),"NOT FOUND"),"")</f>
      </c>
    </row>
    <row r="200" spans="5:7" x14ac:dyDescent="0.25">
      <c r="E200" s="2">
        <f>IF($B200&lt;&gt;"",IFERROR(VLOOKUP($B200,Ingredients!$A$2:$C$500,3,FALSE),""),"")</f>
      </c>
      <c r="F200" s="3">
        <f>IF(AND($B200&lt;&gt;"",$C200&lt;&gt;""),IFERROR($C200*$E200,""),"")</f>
      </c>
      <c r="G200">
        <f>IF($B200&lt;&gt;"",IFERROR(IF(EXACT(LOWER($D200),LOWER(VLOOKUP($B200,Ingredients!$A$2:$C$500,2,FALSE))),"OK","CHECK UNIT"),"NOT FOUND"),"")</f>
      </c>
    </row>
    <row r="201" spans="5:7" x14ac:dyDescent="0.25">
      <c r="E201" s="2">
        <f>IF($B201&lt;&gt;"",IFERROR(VLOOKUP($B201,Ingredients!$A$2:$C$500,3,FALSE),""),"")</f>
      </c>
      <c r="F201" s="3">
        <f>IF(AND($B201&lt;&gt;"",$C201&lt;&gt;""),IFERROR($C201*$E201,""),"")</f>
      </c>
      <c r="G201">
        <f>IF($B201&lt;&gt;"",IFERROR(IF(EXACT(LOWER($D201),LOWER(VLOOKUP($B201,Ingredients!$A$2:$C$500,2,FALSE))),"OK","CHECK UNIT"),"NOT FOUND"),"")</f>
      </c>
    </row>
    <row r="202" spans="5:7" x14ac:dyDescent="0.25">
      <c r="E202" s="2">
        <f>IF($B202&lt;&gt;"",IFERROR(VLOOKUP($B202,Ingredients!$A$2:$C$500,3,FALSE),""),"")</f>
      </c>
      <c r="F202" s="3">
        <f>IF(AND($B202&lt;&gt;"",$C202&lt;&gt;""),IFERROR($C202*$E202,""),"")</f>
      </c>
      <c r="G202">
        <f>IF($B202&lt;&gt;"",IFERROR(IF(EXACT(LOWER($D202),LOWER(VLOOKUP($B202,Ingredients!$A$2:$C$500,2,FALSE))),"OK","CHECK UNIT"),"NOT FOUND"),"")</f>
      </c>
    </row>
    <row r="203" spans="5:7" x14ac:dyDescent="0.25">
      <c r="E203" s="2">
        <f>IF($B203&lt;&gt;"",IFERROR(VLOOKUP($B203,Ingredients!$A$2:$C$500,3,FALSE),""),"")</f>
      </c>
      <c r="F203" s="3">
        <f>IF(AND($B203&lt;&gt;"",$C203&lt;&gt;""),IFERROR($C203*$E203,""),"")</f>
      </c>
      <c r="G203">
        <f>IF($B203&lt;&gt;"",IFERROR(IF(EXACT(LOWER($D203),LOWER(VLOOKUP($B203,Ingredients!$A$2:$C$500,2,FALSE))),"OK","CHECK UNIT"),"NOT FOUND"),"")</f>
      </c>
    </row>
    <row r="204" spans="5:7" x14ac:dyDescent="0.25">
      <c r="E204" s="2">
        <f>IF($B204&lt;&gt;"",IFERROR(VLOOKUP($B204,Ingredients!$A$2:$C$500,3,FALSE),""),"")</f>
      </c>
      <c r="F204" s="3">
        <f>IF(AND($B204&lt;&gt;"",$C204&lt;&gt;""),IFERROR($C204*$E204,""),"")</f>
      </c>
      <c r="G204">
        <f>IF($B204&lt;&gt;"",IFERROR(IF(EXACT(LOWER($D204),LOWER(VLOOKUP($B204,Ingredients!$A$2:$C$500,2,FALSE))),"OK","CHECK UNIT"),"NOT FOUND"),"")</f>
      </c>
    </row>
    <row r="205" spans="5:7" x14ac:dyDescent="0.25">
      <c r="E205" s="2">
        <f>IF($B205&lt;&gt;"",IFERROR(VLOOKUP($B205,Ingredients!$A$2:$C$500,3,FALSE),""),"")</f>
      </c>
      <c r="F205" s="3">
        <f>IF(AND($B205&lt;&gt;"",$C205&lt;&gt;""),IFERROR($C205*$E205,""),"")</f>
      </c>
      <c r="G205">
        <f>IF($B205&lt;&gt;"",IFERROR(IF(EXACT(LOWER($D205),LOWER(VLOOKUP($B205,Ingredients!$A$2:$C$500,2,FALSE))),"OK","CHECK UNIT"),"NOT FOUND"),"")</f>
      </c>
    </row>
    <row r="206" spans="5:7" x14ac:dyDescent="0.25">
      <c r="E206" s="2">
        <f>IF($B206&lt;&gt;"",IFERROR(VLOOKUP($B206,Ingredients!$A$2:$C$500,3,FALSE),""),"")</f>
      </c>
      <c r="F206" s="3">
        <f>IF(AND($B206&lt;&gt;"",$C206&lt;&gt;""),IFERROR($C206*$E206,""),"")</f>
      </c>
      <c r="G206">
        <f>IF($B206&lt;&gt;"",IFERROR(IF(EXACT(LOWER($D206),LOWER(VLOOKUP($B206,Ingredients!$A$2:$C$500,2,FALSE))),"OK","CHECK UNIT"),"NOT FOUND"),"")</f>
      </c>
    </row>
    <row r="207" spans="5:7" x14ac:dyDescent="0.25">
      <c r="E207" s="2">
        <f>IF($B207&lt;&gt;"",IFERROR(VLOOKUP($B207,Ingredients!$A$2:$C$500,3,FALSE),""),"")</f>
      </c>
      <c r="F207" s="3">
        <f>IF(AND($B207&lt;&gt;"",$C207&lt;&gt;""),IFERROR($C207*$E207,""),"")</f>
      </c>
      <c r="G207">
        <f>IF($B207&lt;&gt;"",IFERROR(IF(EXACT(LOWER($D207),LOWER(VLOOKUP($B207,Ingredients!$A$2:$C$500,2,FALSE))),"OK","CHECK UNIT"),"NOT FOUND"),"")</f>
      </c>
    </row>
    <row r="208" spans="5:7" x14ac:dyDescent="0.25">
      <c r="E208" s="2">
        <f>IF($B208&lt;&gt;"",IFERROR(VLOOKUP($B208,Ingredients!$A$2:$C$500,3,FALSE),""),"")</f>
      </c>
      <c r="F208" s="3">
        <f>IF(AND($B208&lt;&gt;"",$C208&lt;&gt;""),IFERROR($C208*$E208,""),"")</f>
      </c>
      <c r="G208">
        <f>IF($B208&lt;&gt;"",IFERROR(IF(EXACT(LOWER($D208),LOWER(VLOOKUP($B208,Ingredients!$A$2:$C$500,2,FALSE))),"OK","CHECK UNIT"),"NOT FOUND"),"")</f>
      </c>
    </row>
    <row r="209" spans="5:7" x14ac:dyDescent="0.25">
      <c r="E209" s="2">
        <f>IF($B209&lt;&gt;"",IFERROR(VLOOKUP($B209,Ingredients!$A$2:$C$500,3,FALSE),""),"")</f>
      </c>
      <c r="F209" s="3">
        <f>IF(AND($B209&lt;&gt;"",$C209&lt;&gt;""),IFERROR($C209*$E209,""),"")</f>
      </c>
      <c r="G209">
        <f>IF($B209&lt;&gt;"",IFERROR(IF(EXACT(LOWER($D209),LOWER(VLOOKUP($B209,Ingredients!$A$2:$C$500,2,FALSE))),"OK","CHECK UNIT"),"NOT FOUND"),"")</f>
      </c>
    </row>
    <row r="210" spans="5:7" x14ac:dyDescent="0.25">
      <c r="E210" s="2">
        <f>IF($B210&lt;&gt;"",IFERROR(VLOOKUP($B210,Ingredients!$A$2:$C$500,3,FALSE),""),"")</f>
      </c>
      <c r="F210" s="3">
        <f>IF(AND($B210&lt;&gt;"",$C210&lt;&gt;""),IFERROR($C210*$E210,""),"")</f>
      </c>
      <c r="G210">
        <f>IF($B210&lt;&gt;"",IFERROR(IF(EXACT(LOWER($D210),LOWER(VLOOKUP($B210,Ingredients!$A$2:$C$500,2,FALSE))),"OK","CHECK UNIT"),"NOT FOUND"),"")</f>
      </c>
    </row>
    <row r="211" spans="5:7" x14ac:dyDescent="0.25">
      <c r="E211" s="2">
        <f>IF($B211&lt;&gt;"",IFERROR(VLOOKUP($B211,Ingredients!$A$2:$C$500,3,FALSE),""),"")</f>
      </c>
      <c r="F211" s="3">
        <f>IF(AND($B211&lt;&gt;"",$C211&lt;&gt;""),IFERROR($C211*$E211,""),"")</f>
      </c>
      <c r="G211">
        <f>IF($B211&lt;&gt;"",IFERROR(IF(EXACT(LOWER($D211),LOWER(VLOOKUP($B211,Ingredients!$A$2:$C$500,2,FALSE))),"OK","CHECK UNIT"),"NOT FOUND"),"")</f>
      </c>
    </row>
    <row r="212" spans="5:7" x14ac:dyDescent="0.25">
      <c r="E212" s="2">
        <f>IF($B212&lt;&gt;"",IFERROR(VLOOKUP($B212,Ingredients!$A$2:$C$500,3,FALSE),""),"")</f>
      </c>
      <c r="F212" s="3">
        <f>IF(AND($B212&lt;&gt;"",$C212&lt;&gt;""),IFERROR($C212*$E212,""),"")</f>
      </c>
      <c r="G212">
        <f>IF($B212&lt;&gt;"",IFERROR(IF(EXACT(LOWER($D212),LOWER(VLOOKUP($B212,Ingredients!$A$2:$C$500,2,FALSE))),"OK","CHECK UNIT"),"NOT FOUND"),"")</f>
      </c>
    </row>
    <row r="213" spans="5:7" x14ac:dyDescent="0.25">
      <c r="E213" s="2">
        <f>IF($B213&lt;&gt;"",IFERROR(VLOOKUP($B213,Ingredients!$A$2:$C$500,3,FALSE),""),"")</f>
      </c>
      <c r="F213" s="3">
        <f>IF(AND($B213&lt;&gt;"",$C213&lt;&gt;""),IFERROR($C213*$E213,""),"")</f>
      </c>
      <c r="G213">
        <f>IF($B213&lt;&gt;"",IFERROR(IF(EXACT(LOWER($D213),LOWER(VLOOKUP($B213,Ingredients!$A$2:$C$500,2,FALSE))),"OK","CHECK UNIT"),"NOT FOUND"),"")</f>
      </c>
    </row>
    <row r="214" spans="5:7" x14ac:dyDescent="0.25">
      <c r="E214" s="2">
        <f>IF($B214&lt;&gt;"",IFERROR(VLOOKUP($B214,Ingredients!$A$2:$C$500,3,FALSE),""),"")</f>
      </c>
      <c r="F214" s="3">
        <f>IF(AND($B214&lt;&gt;"",$C214&lt;&gt;""),IFERROR($C214*$E214,""),"")</f>
      </c>
      <c r="G214">
        <f>IF($B214&lt;&gt;"",IFERROR(IF(EXACT(LOWER($D214),LOWER(VLOOKUP($B214,Ingredients!$A$2:$C$500,2,FALSE))),"OK","CHECK UNIT"),"NOT FOUND"),"")</f>
      </c>
    </row>
    <row r="215" spans="5:7" x14ac:dyDescent="0.25">
      <c r="E215" s="2">
        <f>IF($B215&lt;&gt;"",IFERROR(VLOOKUP($B215,Ingredients!$A$2:$C$500,3,FALSE),""),"")</f>
      </c>
      <c r="F215" s="3">
        <f>IF(AND($B215&lt;&gt;"",$C215&lt;&gt;""),IFERROR($C215*$E215,""),"")</f>
      </c>
      <c r="G215">
        <f>IF($B215&lt;&gt;"",IFERROR(IF(EXACT(LOWER($D215),LOWER(VLOOKUP($B215,Ingredients!$A$2:$C$500,2,FALSE))),"OK","CHECK UNIT"),"NOT FOUND"),"")</f>
      </c>
    </row>
    <row r="216" spans="5:7" x14ac:dyDescent="0.25">
      <c r="E216" s="2">
        <f>IF($B216&lt;&gt;"",IFERROR(VLOOKUP($B216,Ingredients!$A$2:$C$500,3,FALSE),""),"")</f>
      </c>
      <c r="F216" s="3">
        <f>IF(AND($B216&lt;&gt;"",$C216&lt;&gt;""),IFERROR($C216*$E216,""),"")</f>
      </c>
      <c r="G216">
        <f>IF($B216&lt;&gt;"",IFERROR(IF(EXACT(LOWER($D216),LOWER(VLOOKUP($B216,Ingredients!$A$2:$C$500,2,FALSE))),"OK","CHECK UNIT"),"NOT FOUND"),"")</f>
      </c>
    </row>
    <row r="217" spans="5:7" x14ac:dyDescent="0.25">
      <c r="E217" s="2">
        <f>IF($B217&lt;&gt;"",IFERROR(VLOOKUP($B217,Ingredients!$A$2:$C$500,3,FALSE),""),"")</f>
      </c>
      <c r="F217" s="3">
        <f>IF(AND($B217&lt;&gt;"",$C217&lt;&gt;""),IFERROR($C217*$E217,""),"")</f>
      </c>
      <c r="G217">
        <f>IF($B217&lt;&gt;"",IFERROR(IF(EXACT(LOWER($D217),LOWER(VLOOKUP($B217,Ingredients!$A$2:$C$500,2,FALSE))),"OK","CHECK UNIT"),"NOT FOUND"),"")</f>
      </c>
    </row>
    <row r="218" spans="5:7" x14ac:dyDescent="0.25">
      <c r="E218" s="2">
        <f>IF($B218&lt;&gt;"",IFERROR(VLOOKUP($B218,Ingredients!$A$2:$C$500,3,FALSE),""),"")</f>
      </c>
      <c r="F218" s="3">
        <f>IF(AND($B218&lt;&gt;"",$C218&lt;&gt;""),IFERROR($C218*$E218,""),"")</f>
      </c>
      <c r="G218">
        <f>IF($B218&lt;&gt;"",IFERROR(IF(EXACT(LOWER($D218),LOWER(VLOOKUP($B218,Ingredients!$A$2:$C$500,2,FALSE))),"OK","CHECK UNIT"),"NOT FOUND"),"")</f>
      </c>
    </row>
    <row r="219" spans="5:7" x14ac:dyDescent="0.25">
      <c r="E219" s="2">
        <f>IF($B219&lt;&gt;"",IFERROR(VLOOKUP($B219,Ingredients!$A$2:$C$500,3,FALSE),""),"")</f>
      </c>
      <c r="F219" s="3">
        <f>IF(AND($B219&lt;&gt;"",$C219&lt;&gt;""),IFERROR($C219*$E219,""),"")</f>
      </c>
      <c r="G219">
        <f>IF($B219&lt;&gt;"",IFERROR(IF(EXACT(LOWER($D219),LOWER(VLOOKUP($B219,Ingredients!$A$2:$C$500,2,FALSE))),"OK","CHECK UNIT"),"NOT FOUND"),"")</f>
      </c>
    </row>
    <row r="220" spans="5:7" x14ac:dyDescent="0.25">
      <c r="E220" s="2">
        <f>IF($B220&lt;&gt;"",IFERROR(VLOOKUP($B220,Ingredients!$A$2:$C$500,3,FALSE),""),"")</f>
      </c>
      <c r="F220" s="3">
        <f>IF(AND($B220&lt;&gt;"",$C220&lt;&gt;""),IFERROR($C220*$E220,""),"")</f>
      </c>
      <c r="G220">
        <f>IF($B220&lt;&gt;"",IFERROR(IF(EXACT(LOWER($D220),LOWER(VLOOKUP($B220,Ingredients!$A$2:$C$500,2,FALSE))),"OK","CHECK UNIT"),"NOT FOUND"),"")</f>
      </c>
    </row>
    <row r="221" spans="5:7" x14ac:dyDescent="0.25">
      <c r="E221" s="2">
        <f>IF($B221&lt;&gt;"",IFERROR(VLOOKUP($B221,Ingredients!$A$2:$C$500,3,FALSE),""),"")</f>
      </c>
      <c r="F221" s="3">
        <f>IF(AND($B221&lt;&gt;"",$C221&lt;&gt;""),IFERROR($C221*$E221,""),"")</f>
      </c>
      <c r="G221">
        <f>IF($B221&lt;&gt;"",IFERROR(IF(EXACT(LOWER($D221),LOWER(VLOOKUP($B221,Ingredients!$A$2:$C$500,2,FALSE))),"OK","CHECK UNIT"),"NOT FOUND"),"")</f>
      </c>
    </row>
    <row r="222" spans="5:7" x14ac:dyDescent="0.25">
      <c r="E222" s="2">
        <f>IF($B222&lt;&gt;"",IFERROR(VLOOKUP($B222,Ingredients!$A$2:$C$500,3,FALSE),""),"")</f>
      </c>
      <c r="F222" s="3">
        <f>IF(AND($B222&lt;&gt;"",$C222&lt;&gt;""),IFERROR($C222*$E222,""),"")</f>
      </c>
      <c r="G222">
        <f>IF($B222&lt;&gt;"",IFERROR(IF(EXACT(LOWER($D222),LOWER(VLOOKUP($B222,Ingredients!$A$2:$C$500,2,FALSE))),"OK","CHECK UNIT"),"NOT FOUND"),"")</f>
      </c>
    </row>
    <row r="223" spans="5:7" x14ac:dyDescent="0.25">
      <c r="E223" s="2">
        <f>IF($B223&lt;&gt;"",IFERROR(VLOOKUP($B223,Ingredients!$A$2:$C$500,3,FALSE),""),"")</f>
      </c>
      <c r="F223" s="3">
        <f>IF(AND($B223&lt;&gt;"",$C223&lt;&gt;""),IFERROR($C223*$E223,""),"")</f>
      </c>
      <c r="G223">
        <f>IF($B223&lt;&gt;"",IFERROR(IF(EXACT(LOWER($D223),LOWER(VLOOKUP($B223,Ingredients!$A$2:$C$500,2,FALSE))),"OK","CHECK UNIT"),"NOT FOUND"),"")</f>
      </c>
    </row>
    <row r="224" spans="5:7" x14ac:dyDescent="0.25">
      <c r="E224" s="2">
        <f>IF($B224&lt;&gt;"",IFERROR(VLOOKUP($B224,Ingredients!$A$2:$C$500,3,FALSE),""),"")</f>
      </c>
      <c r="F224" s="3">
        <f>IF(AND($B224&lt;&gt;"",$C224&lt;&gt;""),IFERROR($C224*$E224,""),"")</f>
      </c>
      <c r="G224">
        <f>IF($B224&lt;&gt;"",IFERROR(IF(EXACT(LOWER($D224),LOWER(VLOOKUP($B224,Ingredients!$A$2:$C$500,2,FALSE))),"OK","CHECK UNIT"),"NOT FOUND"),"")</f>
      </c>
    </row>
    <row r="225" spans="5:7" x14ac:dyDescent="0.25">
      <c r="E225" s="2">
        <f>IF($B225&lt;&gt;"",IFERROR(VLOOKUP($B225,Ingredients!$A$2:$C$500,3,FALSE),""),"")</f>
      </c>
      <c r="F225" s="3">
        <f>IF(AND($B225&lt;&gt;"",$C225&lt;&gt;""),IFERROR($C225*$E225,""),"")</f>
      </c>
      <c r="G225">
        <f>IF($B225&lt;&gt;"",IFERROR(IF(EXACT(LOWER($D225),LOWER(VLOOKUP($B225,Ingredients!$A$2:$C$500,2,FALSE))),"OK","CHECK UNIT"),"NOT FOUND"),"")</f>
      </c>
    </row>
    <row r="226" spans="5:7" x14ac:dyDescent="0.25">
      <c r="E226" s="2">
        <f>IF($B226&lt;&gt;"",IFERROR(VLOOKUP($B226,Ingredients!$A$2:$C$500,3,FALSE),""),"")</f>
      </c>
      <c r="F226" s="3">
        <f>IF(AND($B226&lt;&gt;"",$C226&lt;&gt;""),IFERROR($C226*$E226,""),"")</f>
      </c>
      <c r="G226">
        <f>IF($B226&lt;&gt;"",IFERROR(IF(EXACT(LOWER($D226),LOWER(VLOOKUP($B226,Ingredients!$A$2:$C$500,2,FALSE))),"OK","CHECK UNIT"),"NOT FOUND"),"")</f>
      </c>
    </row>
    <row r="227" spans="5:7" x14ac:dyDescent="0.25">
      <c r="E227" s="2">
        <f>IF($B227&lt;&gt;"",IFERROR(VLOOKUP($B227,Ingredients!$A$2:$C$500,3,FALSE),""),"")</f>
      </c>
      <c r="F227" s="3">
        <f>IF(AND($B227&lt;&gt;"",$C227&lt;&gt;""),IFERROR($C227*$E227,""),"")</f>
      </c>
      <c r="G227">
        <f>IF($B227&lt;&gt;"",IFERROR(IF(EXACT(LOWER($D227),LOWER(VLOOKUP($B227,Ingredients!$A$2:$C$500,2,FALSE))),"OK","CHECK UNIT"),"NOT FOUND"),"")</f>
      </c>
    </row>
    <row r="228" spans="5:7" x14ac:dyDescent="0.25">
      <c r="E228" s="2">
        <f>IF($B228&lt;&gt;"",IFERROR(VLOOKUP($B228,Ingredients!$A$2:$C$500,3,FALSE),""),"")</f>
      </c>
      <c r="F228" s="3">
        <f>IF(AND($B228&lt;&gt;"",$C228&lt;&gt;""),IFERROR($C228*$E228,""),"")</f>
      </c>
      <c r="G228">
        <f>IF($B228&lt;&gt;"",IFERROR(IF(EXACT(LOWER($D228),LOWER(VLOOKUP($B228,Ingredients!$A$2:$C$500,2,FALSE))),"OK","CHECK UNIT"),"NOT FOUND"),"")</f>
      </c>
    </row>
    <row r="229" spans="5:7" x14ac:dyDescent="0.25">
      <c r="E229" s="2">
        <f>IF($B229&lt;&gt;"",IFERROR(VLOOKUP($B229,Ingredients!$A$2:$C$500,3,FALSE),""),"")</f>
      </c>
      <c r="F229" s="3">
        <f>IF(AND($B229&lt;&gt;"",$C229&lt;&gt;""),IFERROR($C229*$E229,""),"")</f>
      </c>
      <c r="G229">
        <f>IF($B229&lt;&gt;"",IFERROR(IF(EXACT(LOWER($D229),LOWER(VLOOKUP($B229,Ingredients!$A$2:$C$500,2,FALSE))),"OK","CHECK UNIT"),"NOT FOUND"),"")</f>
      </c>
    </row>
    <row r="230" spans="5:7" x14ac:dyDescent="0.25">
      <c r="E230" s="2">
        <f>IF($B230&lt;&gt;"",IFERROR(VLOOKUP($B230,Ingredients!$A$2:$C$500,3,FALSE),""),"")</f>
      </c>
      <c r="F230" s="3">
        <f>IF(AND($B230&lt;&gt;"",$C230&lt;&gt;""),IFERROR($C230*$E230,""),"")</f>
      </c>
      <c r="G230">
        <f>IF($B230&lt;&gt;"",IFERROR(IF(EXACT(LOWER($D230),LOWER(VLOOKUP($B230,Ingredients!$A$2:$C$500,2,FALSE))),"OK","CHECK UNIT"),"NOT FOUND"),"")</f>
      </c>
    </row>
    <row r="231" spans="5:7" x14ac:dyDescent="0.25">
      <c r="E231" s="2">
        <f>IF($B231&lt;&gt;"",IFERROR(VLOOKUP($B231,Ingredients!$A$2:$C$500,3,FALSE),""),"")</f>
      </c>
      <c r="F231" s="3">
        <f>IF(AND($B231&lt;&gt;"",$C231&lt;&gt;""),IFERROR($C231*$E231,""),"")</f>
      </c>
      <c r="G231">
        <f>IF($B231&lt;&gt;"",IFERROR(IF(EXACT(LOWER($D231),LOWER(VLOOKUP($B231,Ingredients!$A$2:$C$500,2,FALSE))),"OK","CHECK UNIT"),"NOT FOUND"),"")</f>
      </c>
    </row>
    <row r="232" spans="5:7" x14ac:dyDescent="0.25">
      <c r="E232" s="2">
        <f>IF($B232&lt;&gt;"",IFERROR(VLOOKUP($B232,Ingredients!$A$2:$C$500,3,FALSE),""),"")</f>
      </c>
      <c r="F232" s="3">
        <f>IF(AND($B232&lt;&gt;"",$C232&lt;&gt;""),IFERROR($C232*$E232,""),"")</f>
      </c>
      <c r="G232">
        <f>IF($B232&lt;&gt;"",IFERROR(IF(EXACT(LOWER($D232),LOWER(VLOOKUP($B232,Ingredients!$A$2:$C$500,2,FALSE))),"OK","CHECK UNIT"),"NOT FOUND"),"")</f>
      </c>
    </row>
    <row r="233" spans="5:7" x14ac:dyDescent="0.25">
      <c r="E233" s="2">
        <f>IF($B233&lt;&gt;"",IFERROR(VLOOKUP($B233,Ingredients!$A$2:$C$500,3,FALSE),""),"")</f>
      </c>
      <c r="F233" s="3">
        <f>IF(AND($B233&lt;&gt;"",$C233&lt;&gt;""),IFERROR($C233*$E233,""),"")</f>
      </c>
      <c r="G233">
        <f>IF($B233&lt;&gt;"",IFERROR(IF(EXACT(LOWER($D233),LOWER(VLOOKUP($B233,Ingredients!$A$2:$C$500,2,FALSE))),"OK","CHECK UNIT"),"NOT FOUND"),"")</f>
      </c>
    </row>
    <row r="234" spans="5:7" x14ac:dyDescent="0.25">
      <c r="E234" s="2">
        <f>IF($B234&lt;&gt;"",IFERROR(VLOOKUP($B234,Ingredients!$A$2:$C$500,3,FALSE),""),"")</f>
      </c>
      <c r="F234" s="3">
        <f>IF(AND($B234&lt;&gt;"",$C234&lt;&gt;""),IFERROR($C234*$E234,""),"")</f>
      </c>
      <c r="G234">
        <f>IF($B234&lt;&gt;"",IFERROR(IF(EXACT(LOWER($D234),LOWER(VLOOKUP($B234,Ingredients!$A$2:$C$500,2,FALSE))),"OK","CHECK UNIT"),"NOT FOUND"),"")</f>
      </c>
    </row>
    <row r="235" spans="5:7" x14ac:dyDescent="0.25">
      <c r="E235" s="2">
        <f>IF($B235&lt;&gt;"",IFERROR(VLOOKUP($B235,Ingredients!$A$2:$C$500,3,FALSE),""),"")</f>
      </c>
      <c r="F235" s="3">
        <f>IF(AND($B235&lt;&gt;"",$C235&lt;&gt;""),IFERROR($C235*$E235,""),"")</f>
      </c>
      <c r="G235">
        <f>IF($B235&lt;&gt;"",IFERROR(IF(EXACT(LOWER($D235),LOWER(VLOOKUP($B235,Ingredients!$A$2:$C$500,2,FALSE))),"OK","CHECK UNIT"),"NOT FOUND"),"")</f>
      </c>
    </row>
    <row r="236" spans="5:7" x14ac:dyDescent="0.25">
      <c r="E236" s="2">
        <f>IF($B236&lt;&gt;"",IFERROR(VLOOKUP($B236,Ingredients!$A$2:$C$500,3,FALSE),""),"")</f>
      </c>
      <c r="F236" s="3">
        <f>IF(AND($B236&lt;&gt;"",$C236&lt;&gt;""),IFERROR($C236*$E236,""),"")</f>
      </c>
      <c r="G236">
        <f>IF($B236&lt;&gt;"",IFERROR(IF(EXACT(LOWER($D236),LOWER(VLOOKUP($B236,Ingredients!$A$2:$C$500,2,FALSE))),"OK","CHECK UNIT"),"NOT FOUND"),"")</f>
      </c>
    </row>
    <row r="237" spans="5:7" x14ac:dyDescent="0.25">
      <c r="E237" s="2">
        <f>IF($B237&lt;&gt;"",IFERROR(VLOOKUP($B237,Ingredients!$A$2:$C$500,3,FALSE),""),"")</f>
      </c>
      <c r="F237" s="3">
        <f>IF(AND($B237&lt;&gt;"",$C237&lt;&gt;""),IFERROR($C237*$E237,""),"")</f>
      </c>
      <c r="G237">
        <f>IF($B237&lt;&gt;"",IFERROR(IF(EXACT(LOWER($D237),LOWER(VLOOKUP($B237,Ingredients!$A$2:$C$500,2,FALSE))),"OK","CHECK UNIT"),"NOT FOUND"),"")</f>
      </c>
    </row>
    <row r="238" spans="5:7" x14ac:dyDescent="0.25">
      <c r="E238" s="2">
        <f>IF($B238&lt;&gt;"",IFERROR(VLOOKUP($B238,Ingredients!$A$2:$C$500,3,FALSE),""),"")</f>
      </c>
      <c r="F238" s="3">
        <f>IF(AND($B238&lt;&gt;"",$C238&lt;&gt;""),IFERROR($C238*$E238,""),"")</f>
      </c>
      <c r="G238">
        <f>IF($B238&lt;&gt;"",IFERROR(IF(EXACT(LOWER($D238),LOWER(VLOOKUP($B238,Ingredients!$A$2:$C$500,2,FALSE))),"OK","CHECK UNIT"),"NOT FOUND"),"")</f>
      </c>
    </row>
    <row r="239" spans="5:7" x14ac:dyDescent="0.25">
      <c r="E239" s="2">
        <f>IF($B239&lt;&gt;"",IFERROR(VLOOKUP($B239,Ingredients!$A$2:$C$500,3,FALSE),""),"")</f>
      </c>
      <c r="F239" s="3">
        <f>IF(AND($B239&lt;&gt;"",$C239&lt;&gt;""),IFERROR($C239*$E239,""),"")</f>
      </c>
      <c r="G239">
        <f>IF($B239&lt;&gt;"",IFERROR(IF(EXACT(LOWER($D239),LOWER(VLOOKUP($B239,Ingredients!$A$2:$C$500,2,FALSE))),"OK","CHECK UNIT"),"NOT FOUND"),"")</f>
      </c>
    </row>
    <row r="240" spans="5:7" x14ac:dyDescent="0.25">
      <c r="E240" s="2">
        <f>IF($B240&lt;&gt;"",IFERROR(VLOOKUP($B240,Ingredients!$A$2:$C$500,3,FALSE),""),"")</f>
      </c>
      <c r="F240" s="3">
        <f>IF(AND($B240&lt;&gt;"",$C240&lt;&gt;""),IFERROR($C240*$E240,""),"")</f>
      </c>
      <c r="G240">
        <f>IF($B240&lt;&gt;"",IFERROR(IF(EXACT(LOWER($D240),LOWER(VLOOKUP($B240,Ingredients!$A$2:$C$500,2,FALSE))),"OK","CHECK UNIT"),"NOT FOUND"),"")</f>
      </c>
    </row>
    <row r="241" spans="5:7" x14ac:dyDescent="0.25">
      <c r="E241" s="2">
        <f>IF($B241&lt;&gt;"",IFERROR(VLOOKUP($B241,Ingredients!$A$2:$C$500,3,FALSE),""),"")</f>
      </c>
      <c r="F241" s="3">
        <f>IF(AND($B241&lt;&gt;"",$C241&lt;&gt;""),IFERROR($C241*$E241,""),"")</f>
      </c>
      <c r="G241">
        <f>IF($B241&lt;&gt;"",IFERROR(IF(EXACT(LOWER($D241),LOWER(VLOOKUP($B241,Ingredients!$A$2:$C$500,2,FALSE))),"OK","CHECK UNIT"),"NOT FOUND"),"")</f>
      </c>
    </row>
    <row r="242" spans="5:7" x14ac:dyDescent="0.25">
      <c r="E242" s="2">
        <f>IF($B242&lt;&gt;"",IFERROR(VLOOKUP($B242,Ingredients!$A$2:$C$500,3,FALSE),""),"")</f>
      </c>
      <c r="F242" s="3">
        <f>IF(AND($B242&lt;&gt;"",$C242&lt;&gt;""),IFERROR($C242*$E242,""),"")</f>
      </c>
      <c r="G242">
        <f>IF($B242&lt;&gt;"",IFERROR(IF(EXACT(LOWER($D242),LOWER(VLOOKUP($B242,Ingredients!$A$2:$C$500,2,FALSE))),"OK","CHECK UNIT"),"NOT FOUND"),"")</f>
      </c>
    </row>
    <row r="243" spans="5:7" x14ac:dyDescent="0.25">
      <c r="E243" s="2">
        <f>IF($B243&lt;&gt;"",IFERROR(VLOOKUP($B243,Ingredients!$A$2:$C$500,3,FALSE),""),"")</f>
      </c>
      <c r="F243" s="3">
        <f>IF(AND($B243&lt;&gt;"",$C243&lt;&gt;""),IFERROR($C243*$E243,""),"")</f>
      </c>
      <c r="G243">
        <f>IF($B243&lt;&gt;"",IFERROR(IF(EXACT(LOWER($D243),LOWER(VLOOKUP($B243,Ingredients!$A$2:$C$500,2,FALSE))),"OK","CHECK UNIT"),"NOT FOUND"),"")</f>
      </c>
    </row>
    <row r="244" spans="5:7" x14ac:dyDescent="0.25">
      <c r="E244" s="2">
        <f>IF($B244&lt;&gt;"",IFERROR(VLOOKUP($B244,Ingredients!$A$2:$C$500,3,FALSE),""),"")</f>
      </c>
      <c r="F244" s="3">
        <f>IF(AND($B244&lt;&gt;"",$C244&lt;&gt;""),IFERROR($C244*$E244,""),"")</f>
      </c>
      <c r="G244">
        <f>IF($B244&lt;&gt;"",IFERROR(IF(EXACT(LOWER($D244),LOWER(VLOOKUP($B244,Ingredients!$A$2:$C$500,2,FALSE))),"OK","CHECK UNIT"),"NOT FOUND"),"")</f>
      </c>
    </row>
    <row r="245" spans="5:7" x14ac:dyDescent="0.25">
      <c r="E245" s="2">
        <f>IF($B245&lt;&gt;"",IFERROR(VLOOKUP($B245,Ingredients!$A$2:$C$500,3,FALSE),""),"")</f>
      </c>
      <c r="F245" s="3">
        <f>IF(AND($B245&lt;&gt;"",$C245&lt;&gt;""),IFERROR($C245*$E245,""),"")</f>
      </c>
      <c r="G245">
        <f>IF($B245&lt;&gt;"",IFERROR(IF(EXACT(LOWER($D245),LOWER(VLOOKUP($B245,Ingredients!$A$2:$C$500,2,FALSE))),"OK","CHECK UNIT"),"NOT FOUND"),"")</f>
      </c>
    </row>
    <row r="246" spans="5:7" x14ac:dyDescent="0.25">
      <c r="E246" s="2">
        <f>IF($B246&lt;&gt;"",IFERROR(VLOOKUP($B246,Ingredients!$A$2:$C$500,3,FALSE),""),"")</f>
      </c>
      <c r="F246" s="3">
        <f>IF(AND($B246&lt;&gt;"",$C246&lt;&gt;""),IFERROR($C246*$E246,""),"")</f>
      </c>
      <c r="G246">
        <f>IF($B246&lt;&gt;"",IFERROR(IF(EXACT(LOWER($D246),LOWER(VLOOKUP($B246,Ingredients!$A$2:$C$500,2,FALSE))),"OK","CHECK UNIT"),"NOT FOUND"),"")</f>
      </c>
    </row>
    <row r="247" spans="5:7" x14ac:dyDescent="0.25">
      <c r="E247" s="2">
        <f>IF($B247&lt;&gt;"",IFERROR(VLOOKUP($B247,Ingredients!$A$2:$C$500,3,FALSE),""),"")</f>
      </c>
      <c r="F247" s="3">
        <f>IF(AND($B247&lt;&gt;"",$C247&lt;&gt;""),IFERROR($C247*$E247,""),"")</f>
      </c>
      <c r="G247">
        <f>IF($B247&lt;&gt;"",IFERROR(IF(EXACT(LOWER($D247),LOWER(VLOOKUP($B247,Ingredients!$A$2:$C$500,2,FALSE))),"OK","CHECK UNIT"),"NOT FOUND"),"")</f>
      </c>
    </row>
    <row r="248" spans="5:7" x14ac:dyDescent="0.25">
      <c r="E248" s="2">
        <f>IF($B248&lt;&gt;"",IFERROR(VLOOKUP($B248,Ingredients!$A$2:$C$500,3,FALSE),""),"")</f>
      </c>
      <c r="F248" s="3">
        <f>IF(AND($B248&lt;&gt;"",$C248&lt;&gt;""),IFERROR($C248*$E248,""),"")</f>
      </c>
      <c r="G248">
        <f>IF($B248&lt;&gt;"",IFERROR(IF(EXACT(LOWER($D248),LOWER(VLOOKUP($B248,Ingredients!$A$2:$C$500,2,FALSE))),"OK","CHECK UNIT"),"NOT FOUND"),"")</f>
      </c>
    </row>
    <row r="249" spans="5:7" x14ac:dyDescent="0.25">
      <c r="E249" s="2">
        <f>IF($B249&lt;&gt;"",IFERROR(VLOOKUP($B249,Ingredients!$A$2:$C$500,3,FALSE),""),"")</f>
      </c>
      <c r="F249" s="3">
        <f>IF(AND($B249&lt;&gt;"",$C249&lt;&gt;""),IFERROR($C249*$E249,""),"")</f>
      </c>
      <c r="G249">
        <f>IF($B249&lt;&gt;"",IFERROR(IF(EXACT(LOWER($D249),LOWER(VLOOKUP($B249,Ingredients!$A$2:$C$500,2,FALSE))),"OK","CHECK UNIT"),"NOT FOUND"),"")</f>
      </c>
    </row>
    <row r="250" spans="5:7" x14ac:dyDescent="0.25">
      <c r="E250" s="2">
        <f>IF($B250&lt;&gt;"",IFERROR(VLOOKUP($B250,Ingredients!$A$2:$C$500,3,FALSE),""),"")</f>
      </c>
      <c r="F250" s="3">
        <f>IF(AND($B250&lt;&gt;"",$C250&lt;&gt;""),IFERROR($C250*$E250,""),"")</f>
      </c>
      <c r="G250">
        <f>IF($B250&lt;&gt;"",IFERROR(IF(EXACT(LOWER($D250),LOWER(VLOOKUP($B250,Ingredients!$A$2:$C$500,2,FALSE))),"OK","CHECK UNIT"),"NOT FOUND"),"")</f>
      </c>
    </row>
    <row r="251" spans="5:7" x14ac:dyDescent="0.25">
      <c r="E251" s="2">
        <f>IF($B251&lt;&gt;"",IFERROR(VLOOKUP($B251,Ingredients!$A$2:$C$500,3,FALSE),""),"")</f>
      </c>
      <c r="F251" s="3">
        <f>IF(AND($B251&lt;&gt;"",$C251&lt;&gt;""),IFERROR($C251*$E251,""),"")</f>
      </c>
      <c r="G251">
        <f>IF($B251&lt;&gt;"",IFERROR(IF(EXACT(LOWER($D251),LOWER(VLOOKUP($B251,Ingredients!$A$2:$C$500,2,FALSE))),"OK","CHECK UNIT"),"NOT FOUND"),"")</f>
      </c>
    </row>
    <row r="252" spans="5:7" x14ac:dyDescent="0.25">
      <c r="E252" s="2">
        <f>IF($B252&lt;&gt;"",IFERROR(VLOOKUP($B252,Ingredients!$A$2:$C$500,3,FALSE),""),"")</f>
      </c>
      <c r="F252" s="3">
        <f>IF(AND($B252&lt;&gt;"",$C252&lt;&gt;""),IFERROR($C252*$E252,""),"")</f>
      </c>
      <c r="G252">
        <f>IF($B252&lt;&gt;"",IFERROR(IF(EXACT(LOWER($D252),LOWER(VLOOKUP($B252,Ingredients!$A$2:$C$500,2,FALSE))),"OK","CHECK UNIT"),"NOT FOUND"),"")</f>
      </c>
    </row>
    <row r="253" spans="5:7" x14ac:dyDescent="0.25">
      <c r="E253" s="2">
        <f>IF($B253&lt;&gt;"",IFERROR(VLOOKUP($B253,Ingredients!$A$2:$C$500,3,FALSE),""),"")</f>
      </c>
      <c r="F253" s="3">
        <f>IF(AND($B253&lt;&gt;"",$C253&lt;&gt;""),IFERROR($C253*$E253,""),"")</f>
      </c>
      <c r="G253">
        <f>IF($B253&lt;&gt;"",IFERROR(IF(EXACT(LOWER($D253),LOWER(VLOOKUP($B253,Ingredients!$A$2:$C$500,2,FALSE))),"OK","CHECK UNIT"),"NOT FOUND"),"")</f>
      </c>
    </row>
    <row r="254" spans="5:7" x14ac:dyDescent="0.25">
      <c r="E254" s="2">
        <f>IF($B254&lt;&gt;"",IFERROR(VLOOKUP($B254,Ingredients!$A$2:$C$500,3,FALSE),""),"")</f>
      </c>
      <c r="F254" s="3">
        <f>IF(AND($B254&lt;&gt;"",$C254&lt;&gt;""),IFERROR($C254*$E254,""),"")</f>
      </c>
      <c r="G254">
        <f>IF($B254&lt;&gt;"",IFERROR(IF(EXACT(LOWER($D254),LOWER(VLOOKUP($B254,Ingredients!$A$2:$C$500,2,FALSE))),"OK","CHECK UNIT"),"NOT FOUND"),"")</f>
      </c>
    </row>
    <row r="255" spans="5:7" x14ac:dyDescent="0.25">
      <c r="E255" s="2">
        <f>IF($B255&lt;&gt;"",IFERROR(VLOOKUP($B255,Ingredients!$A$2:$C$500,3,FALSE),""),"")</f>
      </c>
      <c r="F255" s="3">
        <f>IF(AND($B255&lt;&gt;"",$C255&lt;&gt;""),IFERROR($C255*$E255,""),"")</f>
      </c>
      <c r="G255">
        <f>IF($B255&lt;&gt;"",IFERROR(IF(EXACT(LOWER($D255),LOWER(VLOOKUP($B255,Ingredients!$A$2:$C$500,2,FALSE))),"OK","CHECK UNIT"),"NOT FOUND"),"")</f>
      </c>
    </row>
    <row r="256" spans="5:7" x14ac:dyDescent="0.25">
      <c r="E256" s="2">
        <f>IF($B256&lt;&gt;"",IFERROR(VLOOKUP($B256,Ingredients!$A$2:$C$500,3,FALSE),""),"")</f>
      </c>
      <c r="F256" s="3">
        <f>IF(AND($B256&lt;&gt;"",$C256&lt;&gt;""),IFERROR($C256*$E256,""),"")</f>
      </c>
      <c r="G256">
        <f>IF($B256&lt;&gt;"",IFERROR(IF(EXACT(LOWER($D256),LOWER(VLOOKUP($B256,Ingredients!$A$2:$C$500,2,FALSE))),"OK","CHECK UNIT"),"NOT FOUND"),"")</f>
      </c>
    </row>
    <row r="257" spans="5:7" x14ac:dyDescent="0.25">
      <c r="E257" s="2">
        <f>IF($B257&lt;&gt;"",IFERROR(VLOOKUP($B257,Ingredients!$A$2:$C$500,3,FALSE),""),"")</f>
      </c>
      <c r="F257" s="3">
        <f>IF(AND($B257&lt;&gt;"",$C257&lt;&gt;""),IFERROR($C257*$E257,""),"")</f>
      </c>
      <c r="G257">
        <f>IF($B257&lt;&gt;"",IFERROR(IF(EXACT(LOWER($D257),LOWER(VLOOKUP($B257,Ingredients!$A$2:$C$500,2,FALSE))),"OK","CHECK UNIT"),"NOT FOUND"),"")</f>
      </c>
    </row>
    <row r="258" spans="5:7" x14ac:dyDescent="0.25">
      <c r="E258" s="2">
        <f>IF($B258&lt;&gt;"",IFERROR(VLOOKUP($B258,Ingredients!$A$2:$C$500,3,FALSE),""),"")</f>
      </c>
      <c r="F258" s="3">
        <f>IF(AND($B258&lt;&gt;"",$C258&lt;&gt;""),IFERROR($C258*$E258,""),"")</f>
      </c>
      <c r="G258">
        <f>IF($B258&lt;&gt;"",IFERROR(IF(EXACT(LOWER($D258),LOWER(VLOOKUP($B258,Ingredients!$A$2:$C$500,2,FALSE))),"OK","CHECK UNIT"),"NOT FOUND"),"")</f>
      </c>
    </row>
    <row r="259" spans="5:7" x14ac:dyDescent="0.25">
      <c r="E259" s="2">
        <f>IF($B259&lt;&gt;"",IFERROR(VLOOKUP($B259,Ingredients!$A$2:$C$500,3,FALSE),""),"")</f>
      </c>
      <c r="F259" s="3">
        <f>IF(AND($B259&lt;&gt;"",$C259&lt;&gt;""),IFERROR($C259*$E259,""),"")</f>
      </c>
      <c r="G259">
        <f>IF($B259&lt;&gt;"",IFERROR(IF(EXACT(LOWER($D259),LOWER(VLOOKUP($B259,Ingredients!$A$2:$C$500,2,FALSE))),"OK","CHECK UNIT"),"NOT FOUND"),"")</f>
      </c>
    </row>
    <row r="260" spans="5:7" x14ac:dyDescent="0.25">
      <c r="E260" s="2">
        <f>IF($B260&lt;&gt;"",IFERROR(VLOOKUP($B260,Ingredients!$A$2:$C$500,3,FALSE),""),"")</f>
      </c>
      <c r="F260" s="3">
        <f>IF(AND($B260&lt;&gt;"",$C260&lt;&gt;""),IFERROR($C260*$E260,""),"")</f>
      </c>
      <c r="G260">
        <f>IF($B260&lt;&gt;"",IFERROR(IF(EXACT(LOWER($D260),LOWER(VLOOKUP($B260,Ingredients!$A$2:$C$500,2,FALSE))),"OK","CHECK UNIT"),"NOT FOUND"),"")</f>
      </c>
    </row>
    <row r="261" spans="5:7" x14ac:dyDescent="0.25">
      <c r="E261" s="2">
        <f>IF($B261&lt;&gt;"",IFERROR(VLOOKUP($B261,Ingredients!$A$2:$C$500,3,FALSE),""),"")</f>
      </c>
      <c r="F261" s="3">
        <f>IF(AND($B261&lt;&gt;"",$C261&lt;&gt;""),IFERROR($C261*$E261,""),"")</f>
      </c>
      <c r="G261">
        <f>IF($B261&lt;&gt;"",IFERROR(IF(EXACT(LOWER($D261),LOWER(VLOOKUP($B261,Ingredients!$A$2:$C$500,2,FALSE))),"OK","CHECK UNIT"),"NOT FOUND"),"")</f>
      </c>
    </row>
    <row r="262" spans="5:7" x14ac:dyDescent="0.25">
      <c r="E262" s="2">
        <f>IF($B262&lt;&gt;"",IFERROR(VLOOKUP($B262,Ingredients!$A$2:$C$500,3,FALSE),""),"")</f>
      </c>
      <c r="F262" s="3">
        <f>IF(AND($B262&lt;&gt;"",$C262&lt;&gt;""),IFERROR($C262*$E262,""),"")</f>
      </c>
      <c r="G262">
        <f>IF($B262&lt;&gt;"",IFERROR(IF(EXACT(LOWER($D262),LOWER(VLOOKUP($B262,Ingredients!$A$2:$C$500,2,FALSE))),"OK","CHECK UNIT"),"NOT FOUND"),"")</f>
      </c>
    </row>
    <row r="263" spans="5:7" x14ac:dyDescent="0.25">
      <c r="E263" s="2">
        <f>IF($B263&lt;&gt;"",IFERROR(VLOOKUP($B263,Ingredients!$A$2:$C$500,3,FALSE),""),"")</f>
      </c>
      <c r="F263" s="3">
        <f>IF(AND($B263&lt;&gt;"",$C263&lt;&gt;""),IFERROR($C263*$E263,""),"")</f>
      </c>
      <c r="G263">
        <f>IF($B263&lt;&gt;"",IFERROR(IF(EXACT(LOWER($D263),LOWER(VLOOKUP($B263,Ingredients!$A$2:$C$500,2,FALSE))),"OK","CHECK UNIT"),"NOT FOUND"),"")</f>
      </c>
    </row>
    <row r="264" spans="5:7" x14ac:dyDescent="0.25">
      <c r="E264" s="2">
        <f>IF($B264&lt;&gt;"",IFERROR(VLOOKUP($B264,Ingredients!$A$2:$C$500,3,FALSE),""),"")</f>
      </c>
      <c r="F264" s="3">
        <f>IF(AND($B264&lt;&gt;"",$C264&lt;&gt;""),IFERROR($C264*$E264,""),"")</f>
      </c>
      <c r="G264">
        <f>IF($B264&lt;&gt;"",IFERROR(IF(EXACT(LOWER($D264),LOWER(VLOOKUP($B264,Ingredients!$A$2:$C$500,2,FALSE))),"OK","CHECK UNIT"),"NOT FOUND"),"")</f>
      </c>
    </row>
    <row r="265" spans="5:7" x14ac:dyDescent="0.25">
      <c r="E265" s="2">
        <f>IF($B265&lt;&gt;"",IFERROR(VLOOKUP($B265,Ingredients!$A$2:$C$500,3,FALSE),""),"")</f>
      </c>
      <c r="F265" s="3">
        <f>IF(AND($B265&lt;&gt;"",$C265&lt;&gt;""),IFERROR($C265*$E265,""),"")</f>
      </c>
      <c r="G265">
        <f>IF($B265&lt;&gt;"",IFERROR(IF(EXACT(LOWER($D265),LOWER(VLOOKUP($B265,Ingredients!$A$2:$C$500,2,FALSE))),"OK","CHECK UNIT"),"NOT FOUND"),"")</f>
      </c>
    </row>
    <row r="266" spans="5:7" x14ac:dyDescent="0.25">
      <c r="E266" s="2">
        <f>IF($B266&lt;&gt;"",IFERROR(VLOOKUP($B266,Ingredients!$A$2:$C$500,3,FALSE),""),"")</f>
      </c>
      <c r="F266" s="3">
        <f>IF(AND($B266&lt;&gt;"",$C266&lt;&gt;""),IFERROR($C266*$E266,""),"")</f>
      </c>
      <c r="G266">
        <f>IF($B266&lt;&gt;"",IFERROR(IF(EXACT(LOWER($D266),LOWER(VLOOKUP($B266,Ingredients!$A$2:$C$500,2,FALSE))),"OK","CHECK UNIT"),"NOT FOUND"),"")</f>
      </c>
    </row>
    <row r="267" spans="5:7" x14ac:dyDescent="0.25">
      <c r="E267" s="2">
        <f>IF($B267&lt;&gt;"",IFERROR(VLOOKUP($B267,Ingredients!$A$2:$C$500,3,FALSE),""),"")</f>
      </c>
      <c r="F267" s="3">
        <f>IF(AND($B267&lt;&gt;"",$C267&lt;&gt;""),IFERROR($C267*$E267,""),"")</f>
      </c>
      <c r="G267">
        <f>IF($B267&lt;&gt;"",IFERROR(IF(EXACT(LOWER($D267),LOWER(VLOOKUP($B267,Ingredients!$A$2:$C$500,2,FALSE))),"OK","CHECK UNIT"),"NOT FOUND"),"")</f>
      </c>
    </row>
    <row r="268" spans="5:7" x14ac:dyDescent="0.25">
      <c r="E268" s="2">
        <f>IF($B268&lt;&gt;"",IFERROR(VLOOKUP($B268,Ingredients!$A$2:$C$500,3,FALSE),""),"")</f>
      </c>
      <c r="F268" s="3">
        <f>IF(AND($B268&lt;&gt;"",$C268&lt;&gt;""),IFERROR($C268*$E268,""),"")</f>
      </c>
      <c r="G268">
        <f>IF($B268&lt;&gt;"",IFERROR(IF(EXACT(LOWER($D268),LOWER(VLOOKUP($B268,Ingredients!$A$2:$C$500,2,FALSE))),"OK","CHECK UNIT"),"NOT FOUND"),"")</f>
      </c>
    </row>
    <row r="269" spans="5:7" x14ac:dyDescent="0.25">
      <c r="E269" s="2">
        <f>IF($B269&lt;&gt;"",IFERROR(VLOOKUP($B269,Ingredients!$A$2:$C$500,3,FALSE),""),"")</f>
      </c>
      <c r="F269" s="3">
        <f>IF(AND($B269&lt;&gt;"",$C269&lt;&gt;""),IFERROR($C269*$E269,""),"")</f>
      </c>
      <c r="G269">
        <f>IF($B269&lt;&gt;"",IFERROR(IF(EXACT(LOWER($D269),LOWER(VLOOKUP($B269,Ingredients!$A$2:$C$500,2,FALSE))),"OK","CHECK UNIT"),"NOT FOUND"),"")</f>
      </c>
    </row>
    <row r="270" spans="5:7" x14ac:dyDescent="0.25">
      <c r="E270" s="2">
        <f>IF($B270&lt;&gt;"",IFERROR(VLOOKUP($B270,Ingredients!$A$2:$C$500,3,FALSE),""),"")</f>
      </c>
      <c r="F270" s="3">
        <f>IF(AND($B270&lt;&gt;"",$C270&lt;&gt;""),IFERROR($C270*$E270,""),"")</f>
      </c>
      <c r="G270">
        <f>IF($B270&lt;&gt;"",IFERROR(IF(EXACT(LOWER($D270),LOWER(VLOOKUP($B270,Ingredients!$A$2:$C$500,2,FALSE))),"OK","CHECK UNIT"),"NOT FOUND"),"")</f>
      </c>
    </row>
    <row r="271" spans="5:7" x14ac:dyDescent="0.25">
      <c r="E271" s="2">
        <f>IF($B271&lt;&gt;"",IFERROR(VLOOKUP($B271,Ingredients!$A$2:$C$500,3,FALSE),""),"")</f>
      </c>
      <c r="F271" s="3">
        <f>IF(AND($B271&lt;&gt;"",$C271&lt;&gt;""),IFERROR($C271*$E271,""),"")</f>
      </c>
      <c r="G271">
        <f>IF($B271&lt;&gt;"",IFERROR(IF(EXACT(LOWER($D271),LOWER(VLOOKUP($B271,Ingredients!$A$2:$C$500,2,FALSE))),"OK","CHECK UNIT"),"NOT FOUND"),"")</f>
      </c>
    </row>
    <row r="272" spans="5:7" x14ac:dyDescent="0.25">
      <c r="E272" s="2">
        <f>IF($B272&lt;&gt;"",IFERROR(VLOOKUP($B272,Ingredients!$A$2:$C$500,3,FALSE),""),"")</f>
      </c>
      <c r="F272" s="3">
        <f>IF(AND($B272&lt;&gt;"",$C272&lt;&gt;""),IFERROR($C272*$E272,""),"")</f>
      </c>
      <c r="G272">
        <f>IF($B272&lt;&gt;"",IFERROR(IF(EXACT(LOWER($D272),LOWER(VLOOKUP($B272,Ingredients!$A$2:$C$500,2,FALSE))),"OK","CHECK UNIT"),"NOT FOUND"),"")</f>
      </c>
    </row>
    <row r="273" spans="5:7" x14ac:dyDescent="0.25">
      <c r="E273" s="2">
        <f>IF($B273&lt;&gt;"",IFERROR(VLOOKUP($B273,Ingredients!$A$2:$C$500,3,FALSE),""),"")</f>
      </c>
      <c r="F273" s="3">
        <f>IF(AND($B273&lt;&gt;"",$C273&lt;&gt;""),IFERROR($C273*$E273,""),"")</f>
      </c>
      <c r="G273">
        <f>IF($B273&lt;&gt;"",IFERROR(IF(EXACT(LOWER($D273),LOWER(VLOOKUP($B273,Ingredients!$A$2:$C$500,2,FALSE))),"OK","CHECK UNIT"),"NOT FOUND"),"")</f>
      </c>
    </row>
    <row r="274" spans="5:7" x14ac:dyDescent="0.25">
      <c r="E274" s="2">
        <f>IF($B274&lt;&gt;"",IFERROR(VLOOKUP($B274,Ingredients!$A$2:$C$500,3,FALSE),""),"")</f>
      </c>
      <c r="F274" s="3">
        <f>IF(AND($B274&lt;&gt;"",$C274&lt;&gt;""),IFERROR($C274*$E274,""),"")</f>
      </c>
      <c r="G274">
        <f>IF($B274&lt;&gt;"",IFERROR(IF(EXACT(LOWER($D274),LOWER(VLOOKUP($B274,Ingredients!$A$2:$C$500,2,FALSE))),"OK","CHECK UNIT"),"NOT FOUND"),"")</f>
      </c>
    </row>
    <row r="275" spans="5:7" x14ac:dyDescent="0.25">
      <c r="E275" s="2">
        <f>IF($B275&lt;&gt;"",IFERROR(VLOOKUP($B275,Ingredients!$A$2:$C$500,3,FALSE),""),"")</f>
      </c>
      <c r="F275" s="3">
        <f>IF(AND($B275&lt;&gt;"",$C275&lt;&gt;""),IFERROR($C275*$E275,""),"")</f>
      </c>
      <c r="G275">
        <f>IF($B275&lt;&gt;"",IFERROR(IF(EXACT(LOWER($D275),LOWER(VLOOKUP($B275,Ingredients!$A$2:$C$500,2,FALSE))),"OK","CHECK UNIT"),"NOT FOUND"),"")</f>
      </c>
    </row>
    <row r="276" spans="5:7" x14ac:dyDescent="0.25">
      <c r="E276" s="2">
        <f>IF($B276&lt;&gt;"",IFERROR(VLOOKUP($B276,Ingredients!$A$2:$C$500,3,FALSE),""),"")</f>
      </c>
      <c r="F276" s="3">
        <f>IF(AND($B276&lt;&gt;"",$C276&lt;&gt;""),IFERROR($C276*$E276,""),"")</f>
      </c>
      <c r="G276">
        <f>IF($B276&lt;&gt;"",IFERROR(IF(EXACT(LOWER($D276),LOWER(VLOOKUP($B276,Ingredients!$A$2:$C$500,2,FALSE))),"OK","CHECK UNIT"),"NOT FOUND"),"")</f>
      </c>
    </row>
    <row r="277" spans="5:7" x14ac:dyDescent="0.25">
      <c r="E277" s="2">
        <f>IF($B277&lt;&gt;"",IFERROR(VLOOKUP($B277,Ingredients!$A$2:$C$500,3,FALSE),""),"")</f>
      </c>
      <c r="F277" s="3">
        <f>IF(AND($B277&lt;&gt;"",$C277&lt;&gt;""),IFERROR($C277*$E277,""),"")</f>
      </c>
      <c r="G277">
        <f>IF($B277&lt;&gt;"",IFERROR(IF(EXACT(LOWER($D277),LOWER(VLOOKUP($B277,Ingredients!$A$2:$C$500,2,FALSE))),"OK","CHECK UNIT"),"NOT FOUND"),"")</f>
      </c>
    </row>
    <row r="278" spans="5:7" x14ac:dyDescent="0.25">
      <c r="E278" s="2">
        <f>IF($B278&lt;&gt;"",IFERROR(VLOOKUP($B278,Ingredients!$A$2:$C$500,3,FALSE),""),"")</f>
      </c>
      <c r="F278" s="3">
        <f>IF(AND($B278&lt;&gt;"",$C278&lt;&gt;""),IFERROR($C278*$E278,""),"")</f>
      </c>
      <c r="G278">
        <f>IF($B278&lt;&gt;"",IFERROR(IF(EXACT(LOWER($D278),LOWER(VLOOKUP($B278,Ingredients!$A$2:$C$500,2,FALSE))),"OK","CHECK UNIT"),"NOT FOUND"),"")</f>
      </c>
    </row>
    <row r="279" spans="5:7" x14ac:dyDescent="0.25">
      <c r="E279" s="2">
        <f>IF($B279&lt;&gt;"",IFERROR(VLOOKUP($B279,Ingredients!$A$2:$C$500,3,FALSE),""),"")</f>
      </c>
      <c r="F279" s="3">
        <f>IF(AND($B279&lt;&gt;"",$C279&lt;&gt;""),IFERROR($C279*$E279,""),"")</f>
      </c>
      <c r="G279">
        <f>IF($B279&lt;&gt;"",IFERROR(IF(EXACT(LOWER($D279),LOWER(VLOOKUP($B279,Ingredients!$A$2:$C$500,2,FALSE))),"OK","CHECK UNIT"),"NOT FOUND"),"")</f>
      </c>
    </row>
    <row r="280" spans="5:7" x14ac:dyDescent="0.25">
      <c r="E280" s="2">
        <f>IF($B280&lt;&gt;"",IFERROR(VLOOKUP($B280,Ingredients!$A$2:$C$500,3,FALSE),""),"")</f>
      </c>
      <c r="F280" s="3">
        <f>IF(AND($B280&lt;&gt;"",$C280&lt;&gt;""),IFERROR($C280*$E280,""),"")</f>
      </c>
      <c r="G280">
        <f>IF($B280&lt;&gt;"",IFERROR(IF(EXACT(LOWER($D280),LOWER(VLOOKUP($B280,Ingredients!$A$2:$C$500,2,FALSE))),"OK","CHECK UNIT"),"NOT FOUND"),"")</f>
      </c>
    </row>
    <row r="281" spans="5:7" x14ac:dyDescent="0.25">
      <c r="E281" s="2">
        <f>IF($B281&lt;&gt;"",IFERROR(VLOOKUP($B281,Ingredients!$A$2:$C$500,3,FALSE),""),"")</f>
      </c>
      <c r="F281" s="3">
        <f>IF(AND($B281&lt;&gt;"",$C281&lt;&gt;""),IFERROR($C281*$E281,""),"")</f>
      </c>
      <c r="G281">
        <f>IF($B281&lt;&gt;"",IFERROR(IF(EXACT(LOWER($D281),LOWER(VLOOKUP($B281,Ingredients!$A$2:$C$500,2,FALSE))),"OK","CHECK UNIT"),"NOT FOUND"),"")</f>
      </c>
    </row>
    <row r="282" spans="5:7" x14ac:dyDescent="0.25">
      <c r="E282" s="2">
        <f>IF($B282&lt;&gt;"",IFERROR(VLOOKUP($B282,Ingredients!$A$2:$C$500,3,FALSE),""),"")</f>
      </c>
      <c r="F282" s="3">
        <f>IF(AND($B282&lt;&gt;"",$C282&lt;&gt;""),IFERROR($C282*$E282,""),"")</f>
      </c>
      <c r="G282">
        <f>IF($B282&lt;&gt;"",IFERROR(IF(EXACT(LOWER($D282),LOWER(VLOOKUP($B282,Ingredients!$A$2:$C$500,2,FALSE))),"OK","CHECK UNIT"),"NOT FOUND"),"")</f>
      </c>
    </row>
    <row r="283" spans="5:7" x14ac:dyDescent="0.25">
      <c r="E283" s="2">
        <f>IF($B283&lt;&gt;"",IFERROR(VLOOKUP($B283,Ingredients!$A$2:$C$500,3,FALSE),""),"")</f>
      </c>
      <c r="F283" s="3">
        <f>IF(AND($B283&lt;&gt;"",$C283&lt;&gt;""),IFERROR($C283*$E283,""),"")</f>
      </c>
      <c r="G283">
        <f>IF($B283&lt;&gt;"",IFERROR(IF(EXACT(LOWER($D283),LOWER(VLOOKUP($B283,Ingredients!$A$2:$C$500,2,FALSE))),"OK","CHECK UNIT"),"NOT FOUND"),"")</f>
      </c>
    </row>
    <row r="284" spans="5:7" x14ac:dyDescent="0.25">
      <c r="E284" s="2">
        <f>IF($B284&lt;&gt;"",IFERROR(VLOOKUP($B284,Ingredients!$A$2:$C$500,3,FALSE),""),"")</f>
      </c>
      <c r="F284" s="3">
        <f>IF(AND($B284&lt;&gt;"",$C284&lt;&gt;""),IFERROR($C284*$E284,""),"")</f>
      </c>
      <c r="G284">
        <f>IF($B284&lt;&gt;"",IFERROR(IF(EXACT(LOWER($D284),LOWER(VLOOKUP($B284,Ingredients!$A$2:$C$500,2,FALSE))),"OK","CHECK UNIT"),"NOT FOUND"),"")</f>
      </c>
    </row>
    <row r="285" spans="5:7" x14ac:dyDescent="0.25">
      <c r="E285" s="2">
        <f>IF($B285&lt;&gt;"",IFERROR(VLOOKUP($B285,Ingredients!$A$2:$C$500,3,FALSE),""),"")</f>
      </c>
      <c r="F285" s="3">
        <f>IF(AND($B285&lt;&gt;"",$C285&lt;&gt;""),IFERROR($C285*$E285,""),"")</f>
      </c>
      <c r="G285">
        <f>IF($B285&lt;&gt;"",IFERROR(IF(EXACT(LOWER($D285),LOWER(VLOOKUP($B285,Ingredients!$A$2:$C$500,2,FALSE))),"OK","CHECK UNIT"),"NOT FOUND"),"")</f>
      </c>
    </row>
    <row r="286" spans="5:7" x14ac:dyDescent="0.25">
      <c r="E286" s="2">
        <f>IF($B286&lt;&gt;"",IFERROR(VLOOKUP($B286,Ingredients!$A$2:$C$500,3,FALSE),""),"")</f>
      </c>
      <c r="F286" s="3">
        <f>IF(AND($B286&lt;&gt;"",$C286&lt;&gt;""),IFERROR($C286*$E286,""),"")</f>
      </c>
      <c r="G286">
        <f>IF($B286&lt;&gt;"",IFERROR(IF(EXACT(LOWER($D286),LOWER(VLOOKUP($B286,Ingredients!$A$2:$C$500,2,FALSE))),"OK","CHECK UNIT"),"NOT FOUND"),"")</f>
      </c>
    </row>
    <row r="287" spans="5:7" x14ac:dyDescent="0.25">
      <c r="E287" s="2">
        <f>IF($B287&lt;&gt;"",IFERROR(VLOOKUP($B287,Ingredients!$A$2:$C$500,3,FALSE),""),"")</f>
      </c>
      <c r="F287" s="3">
        <f>IF(AND($B287&lt;&gt;"",$C287&lt;&gt;""),IFERROR($C287*$E287,""),"")</f>
      </c>
      <c r="G287">
        <f>IF($B287&lt;&gt;"",IFERROR(IF(EXACT(LOWER($D287),LOWER(VLOOKUP($B287,Ingredients!$A$2:$C$500,2,FALSE))),"OK","CHECK UNIT"),"NOT FOUND"),"")</f>
      </c>
    </row>
    <row r="288" spans="5:7" x14ac:dyDescent="0.25">
      <c r="E288" s="2">
        <f>IF($B288&lt;&gt;"",IFERROR(VLOOKUP($B288,Ingredients!$A$2:$C$500,3,FALSE),""),"")</f>
      </c>
      <c r="F288" s="3">
        <f>IF(AND($B288&lt;&gt;"",$C288&lt;&gt;""),IFERROR($C288*$E288,""),"")</f>
      </c>
      <c r="G288">
        <f>IF($B288&lt;&gt;"",IFERROR(IF(EXACT(LOWER($D288),LOWER(VLOOKUP($B288,Ingredients!$A$2:$C$500,2,FALSE))),"OK","CHECK UNIT"),"NOT FOUND"),"")</f>
      </c>
    </row>
    <row r="289" spans="5:7" x14ac:dyDescent="0.25">
      <c r="E289" s="2">
        <f>IF($B289&lt;&gt;"",IFERROR(VLOOKUP($B289,Ingredients!$A$2:$C$500,3,FALSE),""),"")</f>
      </c>
      <c r="F289" s="3">
        <f>IF(AND($B289&lt;&gt;"",$C289&lt;&gt;""),IFERROR($C289*$E289,""),"")</f>
      </c>
      <c r="G289">
        <f>IF($B289&lt;&gt;"",IFERROR(IF(EXACT(LOWER($D289),LOWER(VLOOKUP($B289,Ingredients!$A$2:$C$500,2,FALSE))),"OK","CHECK UNIT"),"NOT FOUND"),"")</f>
      </c>
    </row>
    <row r="290" spans="5:7" x14ac:dyDescent="0.25">
      <c r="E290" s="2">
        <f>IF($B290&lt;&gt;"",IFERROR(VLOOKUP($B290,Ingredients!$A$2:$C$500,3,FALSE),""),"")</f>
      </c>
      <c r="F290" s="3">
        <f>IF(AND($B290&lt;&gt;"",$C290&lt;&gt;""),IFERROR($C290*$E290,""),"")</f>
      </c>
      <c r="G290">
        <f>IF($B290&lt;&gt;"",IFERROR(IF(EXACT(LOWER($D290),LOWER(VLOOKUP($B290,Ingredients!$A$2:$C$500,2,FALSE))),"OK","CHECK UNIT"),"NOT FOUND"),"")</f>
      </c>
    </row>
    <row r="291" spans="5:7" x14ac:dyDescent="0.25">
      <c r="E291" s="2">
        <f>IF($B291&lt;&gt;"",IFERROR(VLOOKUP($B291,Ingredients!$A$2:$C$500,3,FALSE),""),"")</f>
      </c>
      <c r="F291" s="3">
        <f>IF(AND($B291&lt;&gt;"",$C291&lt;&gt;""),IFERROR($C291*$E291,""),"")</f>
      </c>
      <c r="G291">
        <f>IF($B291&lt;&gt;"",IFERROR(IF(EXACT(LOWER($D291),LOWER(VLOOKUP($B291,Ingredients!$A$2:$C$500,2,FALSE))),"OK","CHECK UNIT"),"NOT FOUND"),"")</f>
      </c>
    </row>
    <row r="292" spans="5:7" x14ac:dyDescent="0.25">
      <c r="E292" s="2">
        <f>IF($B292&lt;&gt;"",IFERROR(VLOOKUP($B292,Ingredients!$A$2:$C$500,3,FALSE),""),"")</f>
      </c>
      <c r="F292" s="3">
        <f>IF(AND($B292&lt;&gt;"",$C292&lt;&gt;""),IFERROR($C292*$E292,""),"")</f>
      </c>
      <c r="G292">
        <f>IF($B292&lt;&gt;"",IFERROR(IF(EXACT(LOWER($D292),LOWER(VLOOKUP($B292,Ingredients!$A$2:$C$500,2,FALSE))),"OK","CHECK UNIT"),"NOT FOUND"),"")</f>
      </c>
    </row>
    <row r="293" spans="5:7" x14ac:dyDescent="0.25">
      <c r="E293" s="2">
        <f>IF($B293&lt;&gt;"",IFERROR(VLOOKUP($B293,Ingredients!$A$2:$C$500,3,FALSE),""),"")</f>
      </c>
      <c r="F293" s="3">
        <f>IF(AND($B293&lt;&gt;"",$C293&lt;&gt;""),IFERROR($C293*$E293,""),"")</f>
      </c>
      <c r="G293">
        <f>IF($B293&lt;&gt;"",IFERROR(IF(EXACT(LOWER($D293),LOWER(VLOOKUP($B293,Ingredients!$A$2:$C$500,2,FALSE))),"OK","CHECK UNIT"),"NOT FOUND"),"")</f>
      </c>
    </row>
    <row r="294" spans="5:7" x14ac:dyDescent="0.25">
      <c r="E294" s="2">
        <f>IF($B294&lt;&gt;"",IFERROR(VLOOKUP($B294,Ingredients!$A$2:$C$500,3,FALSE),""),"")</f>
      </c>
      <c r="F294" s="3">
        <f>IF(AND($B294&lt;&gt;"",$C294&lt;&gt;""),IFERROR($C294*$E294,""),"")</f>
      </c>
      <c r="G294">
        <f>IF($B294&lt;&gt;"",IFERROR(IF(EXACT(LOWER($D294),LOWER(VLOOKUP($B294,Ingredients!$A$2:$C$500,2,FALSE))),"OK","CHECK UNIT"),"NOT FOUND"),"")</f>
      </c>
    </row>
    <row r="295" spans="5:7" x14ac:dyDescent="0.25">
      <c r="E295" s="2">
        <f>IF($B295&lt;&gt;"",IFERROR(VLOOKUP($B295,Ingredients!$A$2:$C$500,3,FALSE),""),"")</f>
      </c>
      <c r="F295" s="3">
        <f>IF(AND($B295&lt;&gt;"",$C295&lt;&gt;""),IFERROR($C295*$E295,""),"")</f>
      </c>
      <c r="G295">
        <f>IF($B295&lt;&gt;"",IFERROR(IF(EXACT(LOWER($D295),LOWER(VLOOKUP($B295,Ingredients!$A$2:$C$500,2,FALSE))),"OK","CHECK UNIT"),"NOT FOUND"),"")</f>
      </c>
    </row>
    <row r="296" spans="5:7" x14ac:dyDescent="0.25">
      <c r="E296" s="2">
        <f>IF($B296&lt;&gt;"",IFERROR(VLOOKUP($B296,Ingredients!$A$2:$C$500,3,FALSE),""),"")</f>
      </c>
      <c r="F296" s="3">
        <f>IF(AND($B296&lt;&gt;"",$C296&lt;&gt;""),IFERROR($C296*$E296,""),"")</f>
      </c>
      <c r="G296">
        <f>IF($B296&lt;&gt;"",IFERROR(IF(EXACT(LOWER($D296),LOWER(VLOOKUP($B296,Ingredients!$A$2:$C$500,2,FALSE))),"OK","CHECK UNIT"),"NOT FOUND"),"")</f>
      </c>
    </row>
    <row r="297" spans="5:7" x14ac:dyDescent="0.25">
      <c r="E297" s="2">
        <f>IF($B297&lt;&gt;"",IFERROR(VLOOKUP($B297,Ingredients!$A$2:$C$500,3,FALSE),""),"")</f>
      </c>
      <c r="F297" s="3">
        <f>IF(AND($B297&lt;&gt;"",$C297&lt;&gt;""),IFERROR($C297*$E297,""),"")</f>
      </c>
      <c r="G297">
        <f>IF($B297&lt;&gt;"",IFERROR(IF(EXACT(LOWER($D297),LOWER(VLOOKUP($B297,Ingredients!$A$2:$C$500,2,FALSE))),"OK","CHECK UNIT"),"NOT FOUND"),"")</f>
      </c>
    </row>
    <row r="298" spans="5:7" x14ac:dyDescent="0.25">
      <c r="E298" s="2">
        <f>IF($B298&lt;&gt;"",IFERROR(VLOOKUP($B298,Ingredients!$A$2:$C$500,3,FALSE),""),"")</f>
      </c>
      <c r="F298" s="3">
        <f>IF(AND($B298&lt;&gt;"",$C298&lt;&gt;""),IFERROR($C298*$E298,""),"")</f>
      </c>
      <c r="G298">
        <f>IF($B298&lt;&gt;"",IFERROR(IF(EXACT(LOWER($D298),LOWER(VLOOKUP($B298,Ingredients!$A$2:$C$500,2,FALSE))),"OK","CHECK UNIT"),"NOT FOUND"),"")</f>
      </c>
    </row>
    <row r="299" spans="5:7" x14ac:dyDescent="0.25">
      <c r="E299" s="2">
        <f>IF($B299&lt;&gt;"",IFERROR(VLOOKUP($B299,Ingredients!$A$2:$C$500,3,FALSE),""),"")</f>
      </c>
      <c r="F299" s="3">
        <f>IF(AND($B299&lt;&gt;"",$C299&lt;&gt;""),IFERROR($C299*$E299,""),"")</f>
      </c>
      <c r="G299">
        <f>IF($B299&lt;&gt;"",IFERROR(IF(EXACT(LOWER($D299),LOWER(VLOOKUP($B299,Ingredients!$A$2:$C$500,2,FALSE))),"OK","CHECK UNIT"),"NOT FOUND"),"")</f>
      </c>
    </row>
    <row r="300" spans="5:7" x14ac:dyDescent="0.25">
      <c r="E300" s="2">
        <f>IF($B300&lt;&gt;"",IFERROR(VLOOKUP($B300,Ingredients!$A$2:$C$500,3,FALSE),""),"")</f>
      </c>
      <c r="F300" s="3">
        <f>IF(AND($B300&lt;&gt;"",$C300&lt;&gt;""),IFERROR($C300*$E300,""),"")</f>
      </c>
      <c r="G300">
        <f>IF($B300&lt;&gt;"",IFERROR(IF(EXACT(LOWER($D300),LOWER(VLOOKUP($B300,Ingredients!$A$2:$C$500,2,FALSE))),"OK","CHECK UNIT"),"NOT FOUND"),"")</f>
      </c>
    </row>
    <row r="301" spans="5:7" x14ac:dyDescent="0.25">
      <c r="E301" s="2">
        <f>IF($B301&lt;&gt;"",IFERROR(VLOOKUP($B301,Ingredients!$A$2:$C$500,3,FALSE),""),"")</f>
      </c>
      <c r="F301" s="3">
        <f>IF(AND($B301&lt;&gt;"",$C301&lt;&gt;""),IFERROR($C301*$E301,""),"")</f>
      </c>
      <c r="G301">
        <f>IF($B301&lt;&gt;"",IFERROR(IF(EXACT(LOWER($D301),LOWER(VLOOKUP($B301,Ingredients!$A$2:$C$500,2,FALSE))),"OK","CHECK UNIT"),"NOT FOUND"),"")</f>
      </c>
    </row>
    <row r="302" spans="5:7" x14ac:dyDescent="0.25">
      <c r="E302" s="2">
        <f>IF($B302&lt;&gt;"",IFERROR(VLOOKUP($B302,Ingredients!$A$2:$C$500,3,FALSE),""),"")</f>
      </c>
      <c r="F302" s="3">
        <f>IF(AND($B302&lt;&gt;"",$C302&lt;&gt;""),IFERROR($C302*$E302,""),"")</f>
      </c>
      <c r="G302">
        <f>IF($B302&lt;&gt;"",IFERROR(IF(EXACT(LOWER($D302),LOWER(VLOOKUP($B302,Ingredients!$A$2:$C$500,2,FALSE))),"OK","CHECK UNIT"),"NOT FOUND"),"")</f>
      </c>
    </row>
    <row r="303" spans="5:7" x14ac:dyDescent="0.25">
      <c r="E303" s="2">
        <f>IF($B303&lt;&gt;"",IFERROR(VLOOKUP($B303,Ingredients!$A$2:$C$500,3,FALSE),""),"")</f>
      </c>
      <c r="F303" s="3">
        <f>IF(AND($B303&lt;&gt;"",$C303&lt;&gt;""),IFERROR($C303*$E303,""),"")</f>
      </c>
      <c r="G303">
        <f>IF($B303&lt;&gt;"",IFERROR(IF(EXACT(LOWER($D303),LOWER(VLOOKUP($B303,Ingredients!$A$2:$C$500,2,FALSE))),"OK","CHECK UNIT"),"NOT FOUND"),"")</f>
      </c>
    </row>
    <row r="304" spans="5:7" x14ac:dyDescent="0.25">
      <c r="E304" s="2">
        <f>IF($B304&lt;&gt;"",IFERROR(VLOOKUP($B304,Ingredients!$A$2:$C$500,3,FALSE),""),"")</f>
      </c>
      <c r="F304" s="3">
        <f>IF(AND($B304&lt;&gt;"",$C304&lt;&gt;""),IFERROR($C304*$E304,""),"")</f>
      </c>
      <c r="G304">
        <f>IF($B304&lt;&gt;"",IFERROR(IF(EXACT(LOWER($D304),LOWER(VLOOKUP($B304,Ingredients!$A$2:$C$500,2,FALSE))),"OK","CHECK UNIT"),"NOT FOUND"),"")</f>
      </c>
    </row>
    <row r="305" spans="5:7" x14ac:dyDescent="0.25">
      <c r="E305" s="2">
        <f>IF($B305&lt;&gt;"",IFERROR(VLOOKUP($B305,Ingredients!$A$2:$C$500,3,FALSE),""),"")</f>
      </c>
      <c r="F305" s="3">
        <f>IF(AND($B305&lt;&gt;"",$C305&lt;&gt;""),IFERROR($C305*$E305,""),"")</f>
      </c>
      <c r="G305">
        <f>IF($B305&lt;&gt;"",IFERROR(IF(EXACT(LOWER($D305),LOWER(VLOOKUP($B305,Ingredients!$A$2:$C$500,2,FALSE))),"OK","CHECK UNIT"),"NOT FOUND"),"")</f>
      </c>
    </row>
    <row r="306" spans="5:7" x14ac:dyDescent="0.25">
      <c r="E306" s="2">
        <f>IF($B306&lt;&gt;"",IFERROR(VLOOKUP($B306,Ingredients!$A$2:$C$500,3,FALSE),""),"")</f>
      </c>
      <c r="F306" s="3">
        <f>IF(AND($B306&lt;&gt;"",$C306&lt;&gt;""),IFERROR($C306*$E306,""),"")</f>
      </c>
      <c r="G306">
        <f>IF($B306&lt;&gt;"",IFERROR(IF(EXACT(LOWER($D306),LOWER(VLOOKUP($B306,Ingredients!$A$2:$C$500,2,FALSE))),"OK","CHECK UNIT"),"NOT FOUND"),"")</f>
      </c>
    </row>
    <row r="307" spans="5:7" x14ac:dyDescent="0.25">
      <c r="E307" s="2">
        <f>IF($B307&lt;&gt;"",IFERROR(VLOOKUP($B307,Ingredients!$A$2:$C$500,3,FALSE),""),"")</f>
      </c>
      <c r="F307" s="3">
        <f>IF(AND($B307&lt;&gt;"",$C307&lt;&gt;""),IFERROR($C307*$E307,""),"")</f>
      </c>
      <c r="G307">
        <f>IF($B307&lt;&gt;"",IFERROR(IF(EXACT(LOWER($D307),LOWER(VLOOKUP($B307,Ingredients!$A$2:$C$500,2,FALSE))),"OK","CHECK UNIT"),"NOT FOUND"),"")</f>
      </c>
    </row>
    <row r="308" spans="5:7" x14ac:dyDescent="0.25">
      <c r="E308" s="2">
        <f>IF($B308&lt;&gt;"",IFERROR(VLOOKUP($B308,Ingredients!$A$2:$C$500,3,FALSE),""),"")</f>
      </c>
      <c r="F308" s="3">
        <f>IF(AND($B308&lt;&gt;"",$C308&lt;&gt;""),IFERROR($C308*$E308,""),"")</f>
      </c>
      <c r="G308">
        <f>IF($B308&lt;&gt;"",IFERROR(IF(EXACT(LOWER($D308),LOWER(VLOOKUP($B308,Ingredients!$A$2:$C$500,2,FALSE))),"OK","CHECK UNIT"),"NOT FOUND"),"")</f>
      </c>
    </row>
    <row r="309" spans="5:7" x14ac:dyDescent="0.25">
      <c r="E309" s="2">
        <f>IF($B309&lt;&gt;"",IFERROR(VLOOKUP($B309,Ingredients!$A$2:$C$500,3,FALSE),""),"")</f>
      </c>
      <c r="F309" s="3">
        <f>IF(AND($B309&lt;&gt;"",$C309&lt;&gt;""),IFERROR($C309*$E309,""),"")</f>
      </c>
      <c r="G309">
        <f>IF($B309&lt;&gt;"",IFERROR(IF(EXACT(LOWER($D309),LOWER(VLOOKUP($B309,Ingredients!$A$2:$C$500,2,FALSE))),"OK","CHECK UNIT"),"NOT FOUND"),"")</f>
      </c>
    </row>
    <row r="310" spans="5:7" x14ac:dyDescent="0.25">
      <c r="E310" s="2">
        <f>IF($B310&lt;&gt;"",IFERROR(VLOOKUP($B310,Ingredients!$A$2:$C$500,3,FALSE),""),"")</f>
      </c>
      <c r="F310" s="3">
        <f>IF(AND($B310&lt;&gt;"",$C310&lt;&gt;""),IFERROR($C310*$E310,""),"")</f>
      </c>
      <c r="G310">
        <f>IF($B310&lt;&gt;"",IFERROR(IF(EXACT(LOWER($D310),LOWER(VLOOKUP($B310,Ingredients!$A$2:$C$500,2,FALSE))),"OK","CHECK UNIT"),"NOT FOUND"),"")</f>
      </c>
    </row>
    <row r="311" spans="5:7" x14ac:dyDescent="0.25">
      <c r="E311" s="2">
        <f>IF($B311&lt;&gt;"",IFERROR(VLOOKUP($B311,Ingredients!$A$2:$C$500,3,FALSE),""),"")</f>
      </c>
      <c r="F311" s="3">
        <f>IF(AND($B311&lt;&gt;"",$C311&lt;&gt;""),IFERROR($C311*$E311,""),"")</f>
      </c>
      <c r="G311">
        <f>IF($B311&lt;&gt;"",IFERROR(IF(EXACT(LOWER($D311),LOWER(VLOOKUP($B311,Ingredients!$A$2:$C$500,2,FALSE))),"OK","CHECK UNIT"),"NOT FOUND"),"")</f>
      </c>
    </row>
    <row r="312" spans="5:7" x14ac:dyDescent="0.25">
      <c r="E312" s="2">
        <f>IF($B312&lt;&gt;"",IFERROR(VLOOKUP($B312,Ingredients!$A$2:$C$500,3,FALSE),""),"")</f>
      </c>
      <c r="F312" s="3">
        <f>IF(AND($B312&lt;&gt;"",$C312&lt;&gt;""),IFERROR($C312*$E312,""),"")</f>
      </c>
      <c r="G312">
        <f>IF($B312&lt;&gt;"",IFERROR(IF(EXACT(LOWER($D312),LOWER(VLOOKUP($B312,Ingredients!$A$2:$C$500,2,FALSE))),"OK","CHECK UNIT"),"NOT FOUND"),"")</f>
      </c>
    </row>
    <row r="313" spans="5:7" x14ac:dyDescent="0.25">
      <c r="E313" s="2">
        <f>IF($B313&lt;&gt;"",IFERROR(VLOOKUP($B313,Ingredients!$A$2:$C$500,3,FALSE),""),"")</f>
      </c>
      <c r="F313" s="3">
        <f>IF(AND($B313&lt;&gt;"",$C313&lt;&gt;""),IFERROR($C313*$E313,""),"")</f>
      </c>
      <c r="G313">
        <f>IF($B313&lt;&gt;"",IFERROR(IF(EXACT(LOWER($D313),LOWER(VLOOKUP($B313,Ingredients!$A$2:$C$500,2,FALSE))),"OK","CHECK UNIT"),"NOT FOUND"),"")</f>
      </c>
    </row>
    <row r="314" spans="5:7" x14ac:dyDescent="0.25">
      <c r="E314" s="2">
        <f>IF($B314&lt;&gt;"",IFERROR(VLOOKUP($B314,Ingredients!$A$2:$C$500,3,FALSE),""),"")</f>
      </c>
      <c r="F314" s="3">
        <f>IF(AND($B314&lt;&gt;"",$C314&lt;&gt;""),IFERROR($C314*$E314,""),"")</f>
      </c>
      <c r="G314">
        <f>IF($B314&lt;&gt;"",IFERROR(IF(EXACT(LOWER($D314),LOWER(VLOOKUP($B314,Ingredients!$A$2:$C$500,2,FALSE))),"OK","CHECK UNIT"),"NOT FOUND"),"")</f>
      </c>
    </row>
    <row r="315" spans="5:7" x14ac:dyDescent="0.25">
      <c r="E315" s="2">
        <f>IF($B315&lt;&gt;"",IFERROR(VLOOKUP($B315,Ingredients!$A$2:$C$500,3,FALSE),""),"")</f>
      </c>
      <c r="F315" s="3">
        <f>IF(AND($B315&lt;&gt;"",$C315&lt;&gt;""),IFERROR($C315*$E315,""),"")</f>
      </c>
      <c r="G315">
        <f>IF($B315&lt;&gt;"",IFERROR(IF(EXACT(LOWER($D315),LOWER(VLOOKUP($B315,Ingredients!$A$2:$C$500,2,FALSE))),"OK","CHECK UNIT"),"NOT FOUND"),"")</f>
      </c>
    </row>
    <row r="316" spans="5:7" x14ac:dyDescent="0.25">
      <c r="E316" s="2">
        <f>IF($B316&lt;&gt;"",IFERROR(VLOOKUP($B316,Ingredients!$A$2:$C$500,3,FALSE),""),"")</f>
      </c>
      <c r="F316" s="3">
        <f>IF(AND($B316&lt;&gt;"",$C316&lt;&gt;""),IFERROR($C316*$E316,""),"")</f>
      </c>
      <c r="G316">
        <f>IF($B316&lt;&gt;"",IFERROR(IF(EXACT(LOWER($D316),LOWER(VLOOKUP($B316,Ingredients!$A$2:$C$500,2,FALSE))),"OK","CHECK UNIT"),"NOT FOUND"),"")</f>
      </c>
    </row>
    <row r="317" spans="5:7" x14ac:dyDescent="0.25">
      <c r="E317" s="2">
        <f>IF($B317&lt;&gt;"",IFERROR(VLOOKUP($B317,Ingredients!$A$2:$C$500,3,FALSE),""),"")</f>
      </c>
      <c r="F317" s="3">
        <f>IF(AND($B317&lt;&gt;"",$C317&lt;&gt;""),IFERROR($C317*$E317,""),"")</f>
      </c>
      <c r="G317">
        <f>IF($B317&lt;&gt;"",IFERROR(IF(EXACT(LOWER($D317),LOWER(VLOOKUP($B317,Ingredients!$A$2:$C$500,2,FALSE))),"OK","CHECK UNIT"),"NOT FOUND"),"")</f>
      </c>
    </row>
    <row r="318" spans="5:7" x14ac:dyDescent="0.25">
      <c r="E318" s="2">
        <f>IF($B318&lt;&gt;"",IFERROR(VLOOKUP($B318,Ingredients!$A$2:$C$500,3,FALSE),""),"")</f>
      </c>
      <c r="F318" s="3">
        <f>IF(AND($B318&lt;&gt;"",$C318&lt;&gt;""),IFERROR($C318*$E318,""),"")</f>
      </c>
      <c r="G318">
        <f>IF($B318&lt;&gt;"",IFERROR(IF(EXACT(LOWER($D318),LOWER(VLOOKUP($B318,Ingredients!$A$2:$C$500,2,FALSE))),"OK","CHECK UNIT"),"NOT FOUND"),"")</f>
      </c>
    </row>
    <row r="319" spans="5:7" x14ac:dyDescent="0.25">
      <c r="E319" s="2">
        <f>IF($B319&lt;&gt;"",IFERROR(VLOOKUP($B319,Ingredients!$A$2:$C$500,3,FALSE),""),"")</f>
      </c>
      <c r="F319" s="3">
        <f>IF(AND($B319&lt;&gt;"",$C319&lt;&gt;""),IFERROR($C319*$E319,""),"")</f>
      </c>
      <c r="G319">
        <f>IF($B319&lt;&gt;"",IFERROR(IF(EXACT(LOWER($D319),LOWER(VLOOKUP($B319,Ingredients!$A$2:$C$500,2,FALSE))),"OK","CHECK UNIT"),"NOT FOUND"),"")</f>
      </c>
    </row>
    <row r="320" spans="5:7" x14ac:dyDescent="0.25">
      <c r="E320" s="2">
        <f>IF($B320&lt;&gt;"",IFERROR(VLOOKUP($B320,Ingredients!$A$2:$C$500,3,FALSE),""),"")</f>
      </c>
      <c r="F320" s="3">
        <f>IF(AND($B320&lt;&gt;"",$C320&lt;&gt;""),IFERROR($C320*$E320,""),"")</f>
      </c>
      <c r="G320">
        <f>IF($B320&lt;&gt;"",IFERROR(IF(EXACT(LOWER($D320),LOWER(VLOOKUP($B320,Ingredients!$A$2:$C$500,2,FALSE))),"OK","CHECK UNIT"),"NOT FOUND"),"")</f>
      </c>
    </row>
    <row r="321" spans="5:7" x14ac:dyDescent="0.25">
      <c r="E321" s="2">
        <f>IF($B321&lt;&gt;"",IFERROR(VLOOKUP($B321,Ingredients!$A$2:$C$500,3,FALSE),""),"")</f>
      </c>
      <c r="F321" s="3">
        <f>IF(AND($B321&lt;&gt;"",$C321&lt;&gt;""),IFERROR($C321*$E321,""),"")</f>
      </c>
      <c r="G321">
        <f>IF($B321&lt;&gt;"",IFERROR(IF(EXACT(LOWER($D321),LOWER(VLOOKUP($B321,Ingredients!$A$2:$C$500,2,FALSE))),"OK","CHECK UNIT"),"NOT FOUND"),"")</f>
      </c>
    </row>
    <row r="322" spans="5:7" x14ac:dyDescent="0.25">
      <c r="E322" s="2">
        <f>IF($B322&lt;&gt;"",IFERROR(VLOOKUP($B322,Ingredients!$A$2:$C$500,3,FALSE),""),"")</f>
      </c>
      <c r="F322" s="3">
        <f>IF(AND($B322&lt;&gt;"",$C322&lt;&gt;""),IFERROR($C322*$E322,""),"")</f>
      </c>
      <c r="G322">
        <f>IF($B322&lt;&gt;"",IFERROR(IF(EXACT(LOWER($D322),LOWER(VLOOKUP($B322,Ingredients!$A$2:$C$500,2,FALSE))),"OK","CHECK UNIT"),"NOT FOUND"),"")</f>
      </c>
    </row>
    <row r="323" spans="5:7" x14ac:dyDescent="0.25">
      <c r="E323" s="2">
        <f>IF($B323&lt;&gt;"",IFERROR(VLOOKUP($B323,Ingredients!$A$2:$C$500,3,FALSE),""),"")</f>
      </c>
      <c r="F323" s="3">
        <f>IF(AND($B323&lt;&gt;"",$C323&lt;&gt;""),IFERROR($C323*$E323,""),"")</f>
      </c>
      <c r="G323">
        <f>IF($B323&lt;&gt;"",IFERROR(IF(EXACT(LOWER($D323),LOWER(VLOOKUP($B323,Ingredients!$A$2:$C$500,2,FALSE))),"OK","CHECK UNIT"),"NOT FOUND"),"")</f>
      </c>
    </row>
    <row r="324" spans="5:7" x14ac:dyDescent="0.25">
      <c r="E324" s="2">
        <f>IF($B324&lt;&gt;"",IFERROR(VLOOKUP($B324,Ingredients!$A$2:$C$500,3,FALSE),""),"")</f>
      </c>
      <c r="F324" s="3">
        <f>IF(AND($B324&lt;&gt;"",$C324&lt;&gt;""),IFERROR($C324*$E324,""),"")</f>
      </c>
      <c r="G324">
        <f>IF($B324&lt;&gt;"",IFERROR(IF(EXACT(LOWER($D324),LOWER(VLOOKUP($B324,Ingredients!$A$2:$C$500,2,FALSE))),"OK","CHECK UNIT"),"NOT FOUND"),"")</f>
      </c>
    </row>
    <row r="325" spans="5:7" x14ac:dyDescent="0.25">
      <c r="E325" s="2">
        <f>IF($B325&lt;&gt;"",IFERROR(VLOOKUP($B325,Ingredients!$A$2:$C$500,3,FALSE),""),"")</f>
      </c>
      <c r="F325" s="3">
        <f>IF(AND($B325&lt;&gt;"",$C325&lt;&gt;""),IFERROR($C325*$E325,""),"")</f>
      </c>
      <c r="G325">
        <f>IF($B325&lt;&gt;"",IFERROR(IF(EXACT(LOWER($D325),LOWER(VLOOKUP($B325,Ingredients!$A$2:$C$500,2,FALSE))),"OK","CHECK UNIT"),"NOT FOUND"),"")</f>
      </c>
    </row>
    <row r="326" spans="5:7" x14ac:dyDescent="0.25">
      <c r="E326" s="2">
        <f>IF($B326&lt;&gt;"",IFERROR(VLOOKUP($B326,Ingredients!$A$2:$C$500,3,FALSE),""),"")</f>
      </c>
      <c r="F326" s="3">
        <f>IF(AND($B326&lt;&gt;"",$C326&lt;&gt;""),IFERROR($C326*$E326,""),"")</f>
      </c>
      <c r="G326">
        <f>IF($B326&lt;&gt;"",IFERROR(IF(EXACT(LOWER($D326),LOWER(VLOOKUP($B326,Ingredients!$A$2:$C$500,2,FALSE))),"OK","CHECK UNIT"),"NOT FOUND"),"")</f>
      </c>
    </row>
    <row r="327" spans="5:7" x14ac:dyDescent="0.25">
      <c r="E327" s="2">
        <f>IF($B327&lt;&gt;"",IFERROR(VLOOKUP($B327,Ingredients!$A$2:$C$500,3,FALSE),""),"")</f>
      </c>
      <c r="F327" s="3">
        <f>IF(AND($B327&lt;&gt;"",$C327&lt;&gt;""),IFERROR($C327*$E327,""),"")</f>
      </c>
      <c r="G327">
        <f>IF($B327&lt;&gt;"",IFERROR(IF(EXACT(LOWER($D327),LOWER(VLOOKUP($B327,Ingredients!$A$2:$C$500,2,FALSE))),"OK","CHECK UNIT"),"NOT FOUND"),"")</f>
      </c>
    </row>
    <row r="328" spans="5:7" x14ac:dyDescent="0.25">
      <c r="E328" s="2">
        <f>IF($B328&lt;&gt;"",IFERROR(VLOOKUP($B328,Ingredients!$A$2:$C$500,3,FALSE),""),"")</f>
      </c>
      <c r="F328" s="3">
        <f>IF(AND($B328&lt;&gt;"",$C328&lt;&gt;""),IFERROR($C328*$E328,""),"")</f>
      </c>
      <c r="G328">
        <f>IF($B328&lt;&gt;"",IFERROR(IF(EXACT(LOWER($D328),LOWER(VLOOKUP($B328,Ingredients!$A$2:$C$500,2,FALSE))),"OK","CHECK UNIT"),"NOT FOUND"),"")</f>
      </c>
    </row>
    <row r="329" spans="5:7" x14ac:dyDescent="0.25">
      <c r="E329" s="2">
        <f>IF($B329&lt;&gt;"",IFERROR(VLOOKUP($B329,Ingredients!$A$2:$C$500,3,FALSE),""),"")</f>
      </c>
      <c r="F329" s="3">
        <f>IF(AND($B329&lt;&gt;"",$C329&lt;&gt;""),IFERROR($C329*$E329,""),"")</f>
      </c>
      <c r="G329">
        <f>IF($B329&lt;&gt;"",IFERROR(IF(EXACT(LOWER($D329),LOWER(VLOOKUP($B329,Ingredients!$A$2:$C$500,2,FALSE))),"OK","CHECK UNIT"),"NOT FOUND"),"")</f>
      </c>
    </row>
    <row r="330" spans="5:7" x14ac:dyDescent="0.25">
      <c r="E330" s="2">
        <f>IF($B330&lt;&gt;"",IFERROR(VLOOKUP($B330,Ingredients!$A$2:$C$500,3,FALSE),""),"")</f>
      </c>
      <c r="F330" s="3">
        <f>IF(AND($B330&lt;&gt;"",$C330&lt;&gt;""),IFERROR($C330*$E330,""),"")</f>
      </c>
      <c r="G330">
        <f>IF($B330&lt;&gt;"",IFERROR(IF(EXACT(LOWER($D330),LOWER(VLOOKUP($B330,Ingredients!$A$2:$C$500,2,FALSE))),"OK","CHECK UNIT"),"NOT FOUND"),"")</f>
      </c>
    </row>
    <row r="331" spans="5:7" x14ac:dyDescent="0.25">
      <c r="E331" s="2">
        <f>IF($B331&lt;&gt;"",IFERROR(VLOOKUP($B331,Ingredients!$A$2:$C$500,3,FALSE),""),"")</f>
      </c>
      <c r="F331" s="3">
        <f>IF(AND($B331&lt;&gt;"",$C331&lt;&gt;""),IFERROR($C331*$E331,""),"")</f>
      </c>
      <c r="G331">
        <f>IF($B331&lt;&gt;"",IFERROR(IF(EXACT(LOWER($D331),LOWER(VLOOKUP($B331,Ingredients!$A$2:$C$500,2,FALSE))),"OK","CHECK UNIT"),"NOT FOUND"),"")</f>
      </c>
    </row>
    <row r="332" spans="5:7" x14ac:dyDescent="0.25">
      <c r="E332" s="2">
        <f>IF($B332&lt;&gt;"",IFERROR(VLOOKUP($B332,Ingredients!$A$2:$C$500,3,FALSE),""),"")</f>
      </c>
      <c r="F332" s="3">
        <f>IF(AND($B332&lt;&gt;"",$C332&lt;&gt;""),IFERROR($C332*$E332,""),"")</f>
      </c>
      <c r="G332">
        <f>IF($B332&lt;&gt;"",IFERROR(IF(EXACT(LOWER($D332),LOWER(VLOOKUP($B332,Ingredients!$A$2:$C$500,2,FALSE))),"OK","CHECK UNIT"),"NOT FOUND"),"")</f>
      </c>
    </row>
    <row r="333" spans="5:7" x14ac:dyDescent="0.25">
      <c r="E333" s="2">
        <f>IF($B333&lt;&gt;"",IFERROR(VLOOKUP($B333,Ingredients!$A$2:$C$500,3,FALSE),""),"")</f>
      </c>
      <c r="F333" s="3">
        <f>IF(AND($B333&lt;&gt;"",$C333&lt;&gt;""),IFERROR($C333*$E333,""),"")</f>
      </c>
      <c r="G333">
        <f>IF($B333&lt;&gt;"",IFERROR(IF(EXACT(LOWER($D333),LOWER(VLOOKUP($B333,Ingredients!$A$2:$C$500,2,FALSE))),"OK","CHECK UNIT"),"NOT FOUND"),"")</f>
      </c>
    </row>
    <row r="334" spans="5:7" x14ac:dyDescent="0.25">
      <c r="E334" s="2">
        <f>IF($B334&lt;&gt;"",IFERROR(VLOOKUP($B334,Ingredients!$A$2:$C$500,3,FALSE),""),"")</f>
      </c>
      <c r="F334" s="3">
        <f>IF(AND($B334&lt;&gt;"",$C334&lt;&gt;""),IFERROR($C334*$E334,""),"")</f>
      </c>
      <c r="G334">
        <f>IF($B334&lt;&gt;"",IFERROR(IF(EXACT(LOWER($D334),LOWER(VLOOKUP($B334,Ingredients!$A$2:$C$500,2,FALSE))),"OK","CHECK UNIT"),"NOT FOUND"),"")</f>
      </c>
    </row>
    <row r="335" spans="5:7" x14ac:dyDescent="0.25">
      <c r="E335" s="2">
        <f>IF($B335&lt;&gt;"",IFERROR(VLOOKUP($B335,Ingredients!$A$2:$C$500,3,FALSE),""),"")</f>
      </c>
      <c r="F335" s="3">
        <f>IF(AND($B335&lt;&gt;"",$C335&lt;&gt;""),IFERROR($C335*$E335,""),"")</f>
      </c>
      <c r="G335">
        <f>IF($B335&lt;&gt;"",IFERROR(IF(EXACT(LOWER($D335),LOWER(VLOOKUP($B335,Ingredients!$A$2:$C$500,2,FALSE))),"OK","CHECK UNIT"),"NOT FOUND"),"")</f>
      </c>
    </row>
    <row r="336" spans="5:7" x14ac:dyDescent="0.25">
      <c r="E336" s="2">
        <f>IF($B336&lt;&gt;"",IFERROR(VLOOKUP($B336,Ingredients!$A$2:$C$500,3,FALSE),""),"")</f>
      </c>
      <c r="F336" s="3">
        <f>IF(AND($B336&lt;&gt;"",$C336&lt;&gt;""),IFERROR($C336*$E336,""),"")</f>
      </c>
      <c r="G336">
        <f>IF($B336&lt;&gt;"",IFERROR(IF(EXACT(LOWER($D336),LOWER(VLOOKUP($B336,Ingredients!$A$2:$C$500,2,FALSE))),"OK","CHECK UNIT"),"NOT FOUND"),"")</f>
      </c>
    </row>
    <row r="337" spans="5:7" x14ac:dyDescent="0.25">
      <c r="E337" s="2">
        <f>IF($B337&lt;&gt;"",IFERROR(VLOOKUP($B337,Ingredients!$A$2:$C$500,3,FALSE),""),"")</f>
      </c>
      <c r="F337" s="3">
        <f>IF(AND($B337&lt;&gt;"",$C337&lt;&gt;""),IFERROR($C337*$E337,""),"")</f>
      </c>
      <c r="G337">
        <f>IF($B337&lt;&gt;"",IFERROR(IF(EXACT(LOWER($D337),LOWER(VLOOKUP($B337,Ingredients!$A$2:$C$500,2,FALSE))),"OK","CHECK UNIT"),"NOT FOUND"),"")</f>
      </c>
    </row>
    <row r="338" spans="5:7" x14ac:dyDescent="0.25">
      <c r="E338" s="2">
        <f>IF($B338&lt;&gt;"",IFERROR(VLOOKUP($B338,Ingredients!$A$2:$C$500,3,FALSE),""),"")</f>
      </c>
      <c r="F338" s="3">
        <f>IF(AND($B338&lt;&gt;"",$C338&lt;&gt;""),IFERROR($C338*$E338,""),"")</f>
      </c>
      <c r="G338">
        <f>IF($B338&lt;&gt;"",IFERROR(IF(EXACT(LOWER($D338),LOWER(VLOOKUP($B338,Ingredients!$A$2:$C$500,2,FALSE))),"OK","CHECK UNIT"),"NOT FOUND"),"")</f>
      </c>
    </row>
    <row r="339" spans="5:7" x14ac:dyDescent="0.25">
      <c r="E339" s="2">
        <f>IF($B339&lt;&gt;"",IFERROR(VLOOKUP($B339,Ingredients!$A$2:$C$500,3,FALSE),""),"")</f>
      </c>
      <c r="F339" s="3">
        <f>IF(AND($B339&lt;&gt;"",$C339&lt;&gt;""),IFERROR($C339*$E339,""),"")</f>
      </c>
      <c r="G339">
        <f>IF($B339&lt;&gt;"",IFERROR(IF(EXACT(LOWER($D339),LOWER(VLOOKUP($B339,Ingredients!$A$2:$C$500,2,FALSE))),"OK","CHECK UNIT"),"NOT FOUND"),"")</f>
      </c>
    </row>
    <row r="340" spans="5:7" x14ac:dyDescent="0.25">
      <c r="E340" s="2">
        <f>IF($B340&lt;&gt;"",IFERROR(VLOOKUP($B340,Ingredients!$A$2:$C$500,3,FALSE),""),"")</f>
      </c>
      <c r="F340" s="3">
        <f>IF(AND($B340&lt;&gt;"",$C340&lt;&gt;""),IFERROR($C340*$E340,""),"")</f>
      </c>
      <c r="G340">
        <f>IF($B340&lt;&gt;"",IFERROR(IF(EXACT(LOWER($D340),LOWER(VLOOKUP($B340,Ingredients!$A$2:$C$500,2,FALSE))),"OK","CHECK UNIT"),"NOT FOUND"),"")</f>
      </c>
    </row>
    <row r="341" spans="5:7" x14ac:dyDescent="0.25">
      <c r="E341" s="2">
        <f>IF($B341&lt;&gt;"",IFERROR(VLOOKUP($B341,Ingredients!$A$2:$C$500,3,FALSE),""),"")</f>
      </c>
      <c r="F341" s="3">
        <f>IF(AND($B341&lt;&gt;"",$C341&lt;&gt;""),IFERROR($C341*$E341,""),"")</f>
      </c>
      <c r="G341">
        <f>IF($B341&lt;&gt;"",IFERROR(IF(EXACT(LOWER($D341),LOWER(VLOOKUP($B341,Ingredients!$A$2:$C$500,2,FALSE))),"OK","CHECK UNIT"),"NOT FOUND"),"")</f>
      </c>
    </row>
    <row r="342" spans="5:7" x14ac:dyDescent="0.25">
      <c r="E342" s="2">
        <f>IF($B342&lt;&gt;"",IFERROR(VLOOKUP($B342,Ingredients!$A$2:$C$500,3,FALSE),""),"")</f>
      </c>
      <c r="F342" s="3">
        <f>IF(AND($B342&lt;&gt;"",$C342&lt;&gt;""),IFERROR($C342*$E342,""),"")</f>
      </c>
      <c r="G342">
        <f>IF($B342&lt;&gt;"",IFERROR(IF(EXACT(LOWER($D342),LOWER(VLOOKUP($B342,Ingredients!$A$2:$C$500,2,FALSE))),"OK","CHECK UNIT"),"NOT FOUND"),"")</f>
      </c>
    </row>
    <row r="343" spans="5:7" x14ac:dyDescent="0.25">
      <c r="E343" s="2">
        <f>IF($B343&lt;&gt;"",IFERROR(VLOOKUP($B343,Ingredients!$A$2:$C$500,3,FALSE),""),"")</f>
      </c>
      <c r="F343" s="3">
        <f>IF(AND($B343&lt;&gt;"",$C343&lt;&gt;""),IFERROR($C343*$E343,""),"")</f>
      </c>
      <c r="G343">
        <f>IF($B343&lt;&gt;"",IFERROR(IF(EXACT(LOWER($D343),LOWER(VLOOKUP($B343,Ingredients!$A$2:$C$500,2,FALSE))),"OK","CHECK UNIT"),"NOT FOUND"),"")</f>
      </c>
    </row>
    <row r="344" spans="5:7" x14ac:dyDescent="0.25">
      <c r="E344" s="2">
        <f>IF($B344&lt;&gt;"",IFERROR(VLOOKUP($B344,Ingredients!$A$2:$C$500,3,FALSE),""),"")</f>
      </c>
      <c r="F344" s="3">
        <f>IF(AND($B344&lt;&gt;"",$C344&lt;&gt;""),IFERROR($C344*$E344,""),"")</f>
      </c>
      <c r="G344">
        <f>IF($B344&lt;&gt;"",IFERROR(IF(EXACT(LOWER($D344),LOWER(VLOOKUP($B344,Ingredients!$A$2:$C$500,2,FALSE))),"OK","CHECK UNIT"),"NOT FOUND"),"")</f>
      </c>
    </row>
    <row r="345" spans="5:7" x14ac:dyDescent="0.25">
      <c r="E345" s="2">
        <f>IF($B345&lt;&gt;"",IFERROR(VLOOKUP($B345,Ingredients!$A$2:$C$500,3,FALSE),""),"")</f>
      </c>
      <c r="F345" s="3">
        <f>IF(AND($B345&lt;&gt;"",$C345&lt;&gt;""),IFERROR($C345*$E345,""),"")</f>
      </c>
      <c r="G345">
        <f>IF($B345&lt;&gt;"",IFERROR(IF(EXACT(LOWER($D345),LOWER(VLOOKUP($B345,Ingredients!$A$2:$C$500,2,FALSE))),"OK","CHECK UNIT"),"NOT FOUND"),"")</f>
      </c>
    </row>
    <row r="346" spans="5:7" x14ac:dyDescent="0.25">
      <c r="E346" s="2">
        <f>IF($B346&lt;&gt;"",IFERROR(VLOOKUP($B346,Ingredients!$A$2:$C$500,3,FALSE),""),"")</f>
      </c>
      <c r="F346" s="3">
        <f>IF(AND($B346&lt;&gt;"",$C346&lt;&gt;""),IFERROR($C346*$E346,""),"")</f>
      </c>
      <c r="G346">
        <f>IF($B346&lt;&gt;"",IFERROR(IF(EXACT(LOWER($D346),LOWER(VLOOKUP($B346,Ingredients!$A$2:$C$500,2,FALSE))),"OK","CHECK UNIT"),"NOT FOUND"),"")</f>
      </c>
    </row>
    <row r="347" spans="5:7" x14ac:dyDescent="0.25">
      <c r="E347" s="2">
        <f>IF($B347&lt;&gt;"",IFERROR(VLOOKUP($B347,Ingredients!$A$2:$C$500,3,FALSE),""),"")</f>
      </c>
      <c r="F347" s="3">
        <f>IF(AND($B347&lt;&gt;"",$C347&lt;&gt;""),IFERROR($C347*$E347,""),"")</f>
      </c>
      <c r="G347">
        <f>IF($B347&lt;&gt;"",IFERROR(IF(EXACT(LOWER($D347),LOWER(VLOOKUP($B347,Ingredients!$A$2:$C$500,2,FALSE))),"OK","CHECK UNIT"),"NOT FOUND"),"")</f>
      </c>
    </row>
    <row r="348" spans="5:7" x14ac:dyDescent="0.25">
      <c r="E348" s="2">
        <f>IF($B348&lt;&gt;"",IFERROR(VLOOKUP($B348,Ingredients!$A$2:$C$500,3,FALSE),""),"")</f>
      </c>
      <c r="F348" s="3">
        <f>IF(AND($B348&lt;&gt;"",$C348&lt;&gt;""),IFERROR($C348*$E348,""),"")</f>
      </c>
      <c r="G348">
        <f>IF($B348&lt;&gt;"",IFERROR(IF(EXACT(LOWER($D348),LOWER(VLOOKUP($B348,Ingredients!$A$2:$C$500,2,FALSE))),"OK","CHECK UNIT"),"NOT FOUND"),"")</f>
      </c>
    </row>
    <row r="349" spans="5:7" x14ac:dyDescent="0.25">
      <c r="E349" s="2">
        <f>IF($B349&lt;&gt;"",IFERROR(VLOOKUP($B349,Ingredients!$A$2:$C$500,3,FALSE),""),"")</f>
      </c>
      <c r="F349" s="3">
        <f>IF(AND($B349&lt;&gt;"",$C349&lt;&gt;""),IFERROR($C349*$E349,""),"")</f>
      </c>
      <c r="G349">
        <f>IF($B349&lt;&gt;"",IFERROR(IF(EXACT(LOWER($D349),LOWER(VLOOKUP($B349,Ingredients!$A$2:$C$500,2,FALSE))),"OK","CHECK UNIT"),"NOT FOUND"),"")</f>
      </c>
    </row>
    <row r="350" spans="5:7" x14ac:dyDescent="0.25">
      <c r="E350" s="2">
        <f>IF($B350&lt;&gt;"",IFERROR(VLOOKUP($B350,Ingredients!$A$2:$C$500,3,FALSE),""),"")</f>
      </c>
      <c r="F350" s="3">
        <f>IF(AND($B350&lt;&gt;"",$C350&lt;&gt;""),IFERROR($C350*$E350,""),"")</f>
      </c>
      <c r="G350">
        <f>IF($B350&lt;&gt;"",IFERROR(IF(EXACT(LOWER($D350),LOWER(VLOOKUP($B350,Ingredients!$A$2:$C$500,2,FALSE))),"OK","CHECK UNIT"),"NOT FOUND"),"")</f>
      </c>
    </row>
    <row r="351" spans="5:7" x14ac:dyDescent="0.25">
      <c r="E351" s="2">
        <f>IF($B351&lt;&gt;"",IFERROR(VLOOKUP($B351,Ingredients!$A$2:$C$500,3,FALSE),""),"")</f>
      </c>
      <c r="F351" s="3">
        <f>IF(AND($B351&lt;&gt;"",$C351&lt;&gt;""),IFERROR($C351*$E351,""),"")</f>
      </c>
      <c r="G351">
        <f>IF($B351&lt;&gt;"",IFERROR(IF(EXACT(LOWER($D351),LOWER(VLOOKUP($B351,Ingredients!$A$2:$C$500,2,FALSE))),"OK","CHECK UNIT"),"NOT FOUND"),"")</f>
      </c>
    </row>
    <row r="352" spans="5:7" x14ac:dyDescent="0.25">
      <c r="E352" s="2">
        <f>IF($B352&lt;&gt;"",IFERROR(VLOOKUP($B352,Ingredients!$A$2:$C$500,3,FALSE),""),"")</f>
      </c>
      <c r="F352" s="3">
        <f>IF(AND($B352&lt;&gt;"",$C352&lt;&gt;""),IFERROR($C352*$E352,""),"")</f>
      </c>
      <c r="G352">
        <f>IF($B352&lt;&gt;"",IFERROR(IF(EXACT(LOWER($D352),LOWER(VLOOKUP($B352,Ingredients!$A$2:$C$500,2,FALSE))),"OK","CHECK UNIT"),"NOT FOUND"),"")</f>
      </c>
    </row>
    <row r="353" spans="5:7" x14ac:dyDescent="0.25">
      <c r="E353" s="2">
        <f>IF($B353&lt;&gt;"",IFERROR(VLOOKUP($B353,Ingredients!$A$2:$C$500,3,FALSE),""),"")</f>
      </c>
      <c r="F353" s="3">
        <f>IF(AND($B353&lt;&gt;"",$C353&lt;&gt;""),IFERROR($C353*$E353,""),"")</f>
      </c>
      <c r="G353">
        <f>IF($B353&lt;&gt;"",IFERROR(IF(EXACT(LOWER($D353),LOWER(VLOOKUP($B353,Ingredients!$A$2:$C$500,2,FALSE))),"OK","CHECK UNIT"),"NOT FOUND"),"")</f>
      </c>
    </row>
    <row r="354" spans="5:7" x14ac:dyDescent="0.25">
      <c r="E354" s="2">
        <f>IF($B354&lt;&gt;"",IFERROR(VLOOKUP($B354,Ingredients!$A$2:$C$500,3,FALSE),""),"")</f>
      </c>
      <c r="F354" s="3">
        <f>IF(AND($B354&lt;&gt;"",$C354&lt;&gt;""),IFERROR($C354*$E354,""),"")</f>
      </c>
      <c r="G354">
        <f>IF($B354&lt;&gt;"",IFERROR(IF(EXACT(LOWER($D354),LOWER(VLOOKUP($B354,Ingredients!$A$2:$C$500,2,FALSE))),"OK","CHECK UNIT"),"NOT FOUND"),"")</f>
      </c>
    </row>
    <row r="355" spans="5:7" x14ac:dyDescent="0.25">
      <c r="E355" s="2">
        <f>IF($B355&lt;&gt;"",IFERROR(VLOOKUP($B355,Ingredients!$A$2:$C$500,3,FALSE),""),"")</f>
      </c>
      <c r="F355" s="3">
        <f>IF(AND($B355&lt;&gt;"",$C355&lt;&gt;""),IFERROR($C355*$E355,""),"")</f>
      </c>
      <c r="G355">
        <f>IF($B355&lt;&gt;"",IFERROR(IF(EXACT(LOWER($D355),LOWER(VLOOKUP($B355,Ingredients!$A$2:$C$500,2,FALSE))),"OK","CHECK UNIT"),"NOT FOUND"),"")</f>
      </c>
    </row>
    <row r="356" spans="5:7" x14ac:dyDescent="0.25">
      <c r="E356" s="2">
        <f>IF($B356&lt;&gt;"",IFERROR(VLOOKUP($B356,Ingredients!$A$2:$C$500,3,FALSE),""),"")</f>
      </c>
      <c r="F356" s="3">
        <f>IF(AND($B356&lt;&gt;"",$C356&lt;&gt;""),IFERROR($C356*$E356,""),"")</f>
      </c>
      <c r="G356">
        <f>IF($B356&lt;&gt;"",IFERROR(IF(EXACT(LOWER($D356),LOWER(VLOOKUP($B356,Ingredients!$A$2:$C$500,2,FALSE))),"OK","CHECK UNIT"),"NOT FOUND"),"")</f>
      </c>
    </row>
    <row r="357" spans="5:7" x14ac:dyDescent="0.25">
      <c r="E357" s="2">
        <f>IF($B357&lt;&gt;"",IFERROR(VLOOKUP($B357,Ingredients!$A$2:$C$500,3,FALSE),""),"")</f>
      </c>
      <c r="F357" s="3">
        <f>IF(AND($B357&lt;&gt;"",$C357&lt;&gt;""),IFERROR($C357*$E357,""),"")</f>
      </c>
      <c r="G357">
        <f>IF($B357&lt;&gt;"",IFERROR(IF(EXACT(LOWER($D357),LOWER(VLOOKUP($B357,Ingredients!$A$2:$C$500,2,FALSE))),"OK","CHECK UNIT"),"NOT FOUND"),"")</f>
      </c>
    </row>
    <row r="358" spans="5:7" x14ac:dyDescent="0.25">
      <c r="E358" s="2">
        <f>IF($B358&lt;&gt;"",IFERROR(VLOOKUP($B358,Ingredients!$A$2:$C$500,3,FALSE),""),"")</f>
      </c>
      <c r="F358" s="3">
        <f>IF(AND($B358&lt;&gt;"",$C358&lt;&gt;""),IFERROR($C358*$E358,""),"")</f>
      </c>
      <c r="G358">
        <f>IF($B358&lt;&gt;"",IFERROR(IF(EXACT(LOWER($D358),LOWER(VLOOKUP($B358,Ingredients!$A$2:$C$500,2,FALSE))),"OK","CHECK UNIT"),"NOT FOUND"),"")</f>
      </c>
    </row>
    <row r="359" spans="5:7" x14ac:dyDescent="0.25">
      <c r="E359" s="2">
        <f>IF($B359&lt;&gt;"",IFERROR(VLOOKUP($B359,Ingredients!$A$2:$C$500,3,FALSE),""),"")</f>
      </c>
      <c r="F359" s="3">
        <f>IF(AND($B359&lt;&gt;"",$C359&lt;&gt;""),IFERROR($C359*$E359,""),"")</f>
      </c>
      <c r="G359">
        <f>IF($B359&lt;&gt;"",IFERROR(IF(EXACT(LOWER($D359),LOWER(VLOOKUP($B359,Ingredients!$A$2:$C$500,2,FALSE))),"OK","CHECK UNIT"),"NOT FOUND"),"")</f>
      </c>
    </row>
    <row r="360" spans="5:7" x14ac:dyDescent="0.25">
      <c r="E360" s="2">
        <f>IF($B360&lt;&gt;"",IFERROR(VLOOKUP($B360,Ingredients!$A$2:$C$500,3,FALSE),""),"")</f>
      </c>
      <c r="F360" s="3">
        <f>IF(AND($B360&lt;&gt;"",$C360&lt;&gt;""),IFERROR($C360*$E360,""),"")</f>
      </c>
      <c r="G360">
        <f>IF($B360&lt;&gt;"",IFERROR(IF(EXACT(LOWER($D360),LOWER(VLOOKUP($B360,Ingredients!$A$2:$C$500,2,FALSE))),"OK","CHECK UNIT"),"NOT FOUND"),"")</f>
      </c>
    </row>
    <row r="361" spans="5:7" x14ac:dyDescent="0.25">
      <c r="E361" s="2">
        <f>IF($B361&lt;&gt;"",IFERROR(VLOOKUP($B361,Ingredients!$A$2:$C$500,3,FALSE),""),"")</f>
      </c>
      <c r="F361" s="3">
        <f>IF(AND($B361&lt;&gt;"",$C361&lt;&gt;""),IFERROR($C361*$E361,""),"")</f>
      </c>
      <c r="G361">
        <f>IF($B361&lt;&gt;"",IFERROR(IF(EXACT(LOWER($D361),LOWER(VLOOKUP($B361,Ingredients!$A$2:$C$500,2,FALSE))),"OK","CHECK UNIT"),"NOT FOUND"),"")</f>
      </c>
    </row>
    <row r="362" spans="5:7" x14ac:dyDescent="0.25">
      <c r="E362" s="2">
        <f>IF($B362&lt;&gt;"",IFERROR(VLOOKUP($B362,Ingredients!$A$2:$C$500,3,FALSE),""),"")</f>
      </c>
      <c r="F362" s="3">
        <f>IF(AND($B362&lt;&gt;"",$C362&lt;&gt;""),IFERROR($C362*$E362,""),"")</f>
      </c>
      <c r="G362">
        <f>IF($B362&lt;&gt;"",IFERROR(IF(EXACT(LOWER($D362),LOWER(VLOOKUP($B362,Ingredients!$A$2:$C$500,2,FALSE))),"OK","CHECK UNIT"),"NOT FOUND"),"")</f>
      </c>
    </row>
    <row r="363" spans="5:7" x14ac:dyDescent="0.25">
      <c r="E363" s="2">
        <f>IF($B363&lt;&gt;"",IFERROR(VLOOKUP($B363,Ingredients!$A$2:$C$500,3,FALSE),""),"")</f>
      </c>
      <c r="F363" s="3">
        <f>IF(AND($B363&lt;&gt;"",$C363&lt;&gt;""),IFERROR($C363*$E363,""),"")</f>
      </c>
      <c r="G363">
        <f>IF($B363&lt;&gt;"",IFERROR(IF(EXACT(LOWER($D363),LOWER(VLOOKUP($B363,Ingredients!$A$2:$C$500,2,FALSE))),"OK","CHECK UNIT"),"NOT FOUND"),"")</f>
      </c>
    </row>
    <row r="364" spans="5:7" x14ac:dyDescent="0.25">
      <c r="E364" s="2">
        <f>IF($B364&lt;&gt;"",IFERROR(VLOOKUP($B364,Ingredients!$A$2:$C$500,3,FALSE),""),"")</f>
      </c>
      <c r="F364" s="3">
        <f>IF(AND($B364&lt;&gt;"",$C364&lt;&gt;""),IFERROR($C364*$E364,""),"")</f>
      </c>
      <c r="G364">
        <f>IF($B364&lt;&gt;"",IFERROR(IF(EXACT(LOWER($D364),LOWER(VLOOKUP($B364,Ingredients!$A$2:$C$500,2,FALSE))),"OK","CHECK UNIT"),"NOT FOUND"),"")</f>
      </c>
    </row>
    <row r="365" spans="5:7" x14ac:dyDescent="0.25">
      <c r="E365" s="2">
        <f>IF($B365&lt;&gt;"",IFERROR(VLOOKUP($B365,Ingredients!$A$2:$C$500,3,FALSE),""),"")</f>
      </c>
      <c r="F365" s="3">
        <f>IF(AND($B365&lt;&gt;"",$C365&lt;&gt;""),IFERROR($C365*$E365,""),"")</f>
      </c>
      <c r="G365">
        <f>IF($B365&lt;&gt;"",IFERROR(IF(EXACT(LOWER($D365),LOWER(VLOOKUP($B365,Ingredients!$A$2:$C$500,2,FALSE))),"OK","CHECK UNIT"),"NOT FOUND"),"")</f>
      </c>
    </row>
    <row r="366" spans="5:7" x14ac:dyDescent="0.25">
      <c r="E366" s="2">
        <f>IF($B366&lt;&gt;"",IFERROR(VLOOKUP($B366,Ingredients!$A$2:$C$500,3,FALSE),""),"")</f>
      </c>
      <c r="F366" s="3">
        <f>IF(AND($B366&lt;&gt;"",$C366&lt;&gt;""),IFERROR($C366*$E366,""),"")</f>
      </c>
      <c r="G366">
        <f>IF($B366&lt;&gt;"",IFERROR(IF(EXACT(LOWER($D366),LOWER(VLOOKUP($B366,Ingredients!$A$2:$C$500,2,FALSE))),"OK","CHECK UNIT"),"NOT FOUND"),"")</f>
      </c>
    </row>
    <row r="367" spans="5:7" x14ac:dyDescent="0.25">
      <c r="E367" s="2">
        <f>IF($B367&lt;&gt;"",IFERROR(VLOOKUP($B367,Ingredients!$A$2:$C$500,3,FALSE),""),"")</f>
      </c>
      <c r="F367" s="3">
        <f>IF(AND($B367&lt;&gt;"",$C367&lt;&gt;""),IFERROR($C367*$E367,""),"")</f>
      </c>
      <c r="G367">
        <f>IF($B367&lt;&gt;"",IFERROR(IF(EXACT(LOWER($D367),LOWER(VLOOKUP($B367,Ingredients!$A$2:$C$500,2,FALSE))),"OK","CHECK UNIT"),"NOT FOUND"),"")</f>
      </c>
    </row>
    <row r="368" spans="5:7" x14ac:dyDescent="0.25">
      <c r="E368" s="2">
        <f>IF($B368&lt;&gt;"",IFERROR(VLOOKUP($B368,Ingredients!$A$2:$C$500,3,FALSE),""),"")</f>
      </c>
      <c r="F368" s="3">
        <f>IF(AND($B368&lt;&gt;"",$C368&lt;&gt;""),IFERROR($C368*$E368,""),"")</f>
      </c>
      <c r="G368">
        <f>IF($B368&lt;&gt;"",IFERROR(IF(EXACT(LOWER($D368),LOWER(VLOOKUP($B368,Ingredients!$A$2:$C$500,2,FALSE))),"OK","CHECK UNIT"),"NOT FOUND"),"")</f>
      </c>
    </row>
    <row r="369" spans="5:7" x14ac:dyDescent="0.25">
      <c r="E369" s="2">
        <f>IF($B369&lt;&gt;"",IFERROR(VLOOKUP($B369,Ingredients!$A$2:$C$500,3,FALSE),""),"")</f>
      </c>
      <c r="F369" s="3">
        <f>IF(AND($B369&lt;&gt;"",$C369&lt;&gt;""),IFERROR($C369*$E369,""),"")</f>
      </c>
      <c r="G369">
        <f>IF($B369&lt;&gt;"",IFERROR(IF(EXACT(LOWER($D369),LOWER(VLOOKUP($B369,Ingredients!$A$2:$C$500,2,FALSE))),"OK","CHECK UNIT"),"NOT FOUND"),"")</f>
      </c>
    </row>
    <row r="370" spans="5:7" x14ac:dyDescent="0.25">
      <c r="E370" s="2">
        <f>IF($B370&lt;&gt;"",IFERROR(VLOOKUP($B370,Ingredients!$A$2:$C$500,3,FALSE),""),"")</f>
      </c>
      <c r="F370" s="3">
        <f>IF(AND($B370&lt;&gt;"",$C370&lt;&gt;""),IFERROR($C370*$E370,""),"")</f>
      </c>
      <c r="G370">
        <f>IF($B370&lt;&gt;"",IFERROR(IF(EXACT(LOWER($D370),LOWER(VLOOKUP($B370,Ingredients!$A$2:$C$500,2,FALSE))),"OK","CHECK UNIT"),"NOT FOUND"),"")</f>
      </c>
    </row>
    <row r="371" spans="5:7" x14ac:dyDescent="0.25">
      <c r="E371" s="2">
        <f>IF($B371&lt;&gt;"",IFERROR(VLOOKUP($B371,Ingredients!$A$2:$C$500,3,FALSE),""),"")</f>
      </c>
      <c r="F371" s="3">
        <f>IF(AND($B371&lt;&gt;"",$C371&lt;&gt;""),IFERROR($C371*$E371,""),"")</f>
      </c>
      <c r="G371">
        <f>IF($B371&lt;&gt;"",IFERROR(IF(EXACT(LOWER($D371),LOWER(VLOOKUP($B371,Ingredients!$A$2:$C$500,2,FALSE))),"OK","CHECK UNIT"),"NOT FOUND"),"")</f>
      </c>
    </row>
    <row r="372" spans="5:7" x14ac:dyDescent="0.25">
      <c r="E372" s="2">
        <f>IF($B372&lt;&gt;"",IFERROR(VLOOKUP($B372,Ingredients!$A$2:$C$500,3,FALSE),""),"")</f>
      </c>
      <c r="F372" s="3">
        <f>IF(AND($B372&lt;&gt;"",$C372&lt;&gt;""),IFERROR($C372*$E372,""),"")</f>
      </c>
      <c r="G372">
        <f>IF($B372&lt;&gt;"",IFERROR(IF(EXACT(LOWER($D372),LOWER(VLOOKUP($B372,Ingredients!$A$2:$C$500,2,FALSE))),"OK","CHECK UNIT"),"NOT FOUND"),"")</f>
      </c>
    </row>
    <row r="373" spans="5:7" x14ac:dyDescent="0.25">
      <c r="E373" s="2">
        <f>IF($B373&lt;&gt;"",IFERROR(VLOOKUP($B373,Ingredients!$A$2:$C$500,3,FALSE),""),"")</f>
      </c>
      <c r="F373" s="3">
        <f>IF(AND($B373&lt;&gt;"",$C373&lt;&gt;""),IFERROR($C373*$E373,""),"")</f>
      </c>
      <c r="G373">
        <f>IF($B373&lt;&gt;"",IFERROR(IF(EXACT(LOWER($D373),LOWER(VLOOKUP($B373,Ingredients!$A$2:$C$500,2,FALSE))),"OK","CHECK UNIT"),"NOT FOUND"),"")</f>
      </c>
    </row>
    <row r="374" spans="5:7" x14ac:dyDescent="0.25">
      <c r="E374" s="2">
        <f>IF($B374&lt;&gt;"",IFERROR(VLOOKUP($B374,Ingredients!$A$2:$C$500,3,FALSE),""),"")</f>
      </c>
      <c r="F374" s="3">
        <f>IF(AND($B374&lt;&gt;"",$C374&lt;&gt;""),IFERROR($C374*$E374,""),"")</f>
      </c>
      <c r="G374">
        <f>IF($B374&lt;&gt;"",IFERROR(IF(EXACT(LOWER($D374),LOWER(VLOOKUP($B374,Ingredients!$A$2:$C$500,2,FALSE))),"OK","CHECK UNIT"),"NOT FOUND"),"")</f>
      </c>
    </row>
    <row r="375" spans="5:7" x14ac:dyDescent="0.25">
      <c r="E375" s="2">
        <f>IF($B375&lt;&gt;"",IFERROR(VLOOKUP($B375,Ingredients!$A$2:$C$500,3,FALSE),""),"")</f>
      </c>
      <c r="F375" s="3">
        <f>IF(AND($B375&lt;&gt;"",$C375&lt;&gt;""),IFERROR($C375*$E375,""),"")</f>
      </c>
      <c r="G375">
        <f>IF($B375&lt;&gt;"",IFERROR(IF(EXACT(LOWER($D375),LOWER(VLOOKUP($B375,Ingredients!$A$2:$C$500,2,FALSE))),"OK","CHECK UNIT"),"NOT FOUND"),"")</f>
      </c>
    </row>
    <row r="376" spans="5:7" x14ac:dyDescent="0.25">
      <c r="E376" s="2">
        <f>IF($B376&lt;&gt;"",IFERROR(VLOOKUP($B376,Ingredients!$A$2:$C$500,3,FALSE),""),"")</f>
      </c>
      <c r="F376" s="3">
        <f>IF(AND($B376&lt;&gt;"",$C376&lt;&gt;""),IFERROR($C376*$E376,""),"")</f>
      </c>
      <c r="G376">
        <f>IF($B376&lt;&gt;"",IFERROR(IF(EXACT(LOWER($D376),LOWER(VLOOKUP($B376,Ingredients!$A$2:$C$500,2,FALSE))),"OK","CHECK UNIT"),"NOT FOUND"),"")</f>
      </c>
    </row>
    <row r="377" spans="5:7" x14ac:dyDescent="0.25">
      <c r="E377" s="2">
        <f>IF($B377&lt;&gt;"",IFERROR(VLOOKUP($B377,Ingredients!$A$2:$C$500,3,FALSE),""),"")</f>
      </c>
      <c r="F377" s="3">
        <f>IF(AND($B377&lt;&gt;"",$C377&lt;&gt;""),IFERROR($C377*$E377,""),"")</f>
      </c>
      <c r="G377">
        <f>IF($B377&lt;&gt;"",IFERROR(IF(EXACT(LOWER($D377),LOWER(VLOOKUP($B377,Ingredients!$A$2:$C$500,2,FALSE))),"OK","CHECK UNIT"),"NOT FOUND"),"")</f>
      </c>
    </row>
    <row r="378" spans="5:7" x14ac:dyDescent="0.25">
      <c r="E378" s="2">
        <f>IF($B378&lt;&gt;"",IFERROR(VLOOKUP($B378,Ingredients!$A$2:$C$500,3,FALSE),""),"")</f>
      </c>
      <c r="F378" s="3">
        <f>IF(AND($B378&lt;&gt;"",$C378&lt;&gt;""),IFERROR($C378*$E378,""),"")</f>
      </c>
      <c r="G378">
        <f>IF($B378&lt;&gt;"",IFERROR(IF(EXACT(LOWER($D378),LOWER(VLOOKUP($B378,Ingredients!$A$2:$C$500,2,FALSE))),"OK","CHECK UNIT"),"NOT FOUND"),"")</f>
      </c>
    </row>
    <row r="379" spans="5:7" x14ac:dyDescent="0.25">
      <c r="E379" s="2">
        <f>IF($B379&lt;&gt;"",IFERROR(VLOOKUP($B379,Ingredients!$A$2:$C$500,3,FALSE),""),"")</f>
      </c>
      <c r="F379" s="3">
        <f>IF(AND($B379&lt;&gt;"",$C379&lt;&gt;""),IFERROR($C379*$E379,""),"")</f>
      </c>
      <c r="G379">
        <f>IF($B379&lt;&gt;"",IFERROR(IF(EXACT(LOWER($D379),LOWER(VLOOKUP($B379,Ingredients!$A$2:$C$500,2,FALSE))),"OK","CHECK UNIT"),"NOT FOUND"),"")</f>
      </c>
    </row>
    <row r="380" spans="5:7" x14ac:dyDescent="0.25">
      <c r="E380" s="2">
        <f>IF($B380&lt;&gt;"",IFERROR(VLOOKUP($B380,Ingredients!$A$2:$C$500,3,FALSE),""),"")</f>
      </c>
      <c r="F380" s="3">
        <f>IF(AND($B380&lt;&gt;"",$C380&lt;&gt;""),IFERROR($C380*$E380,""),"")</f>
      </c>
      <c r="G380">
        <f>IF($B380&lt;&gt;"",IFERROR(IF(EXACT(LOWER($D380),LOWER(VLOOKUP($B380,Ingredients!$A$2:$C$500,2,FALSE))),"OK","CHECK UNIT"),"NOT FOUND"),"")</f>
      </c>
    </row>
    <row r="381" spans="5:7" x14ac:dyDescent="0.25">
      <c r="E381" s="2">
        <f>IF($B381&lt;&gt;"",IFERROR(VLOOKUP($B381,Ingredients!$A$2:$C$500,3,FALSE),""),"")</f>
      </c>
      <c r="F381" s="3">
        <f>IF(AND($B381&lt;&gt;"",$C381&lt;&gt;""),IFERROR($C381*$E381,""),"")</f>
      </c>
      <c r="G381">
        <f>IF($B381&lt;&gt;"",IFERROR(IF(EXACT(LOWER($D381),LOWER(VLOOKUP($B381,Ingredients!$A$2:$C$500,2,FALSE))),"OK","CHECK UNIT"),"NOT FOUND"),"")</f>
      </c>
    </row>
    <row r="382" spans="5:7" x14ac:dyDescent="0.25">
      <c r="E382" s="2">
        <f>IF($B382&lt;&gt;"",IFERROR(VLOOKUP($B382,Ingredients!$A$2:$C$500,3,FALSE),""),"")</f>
      </c>
      <c r="F382" s="3">
        <f>IF(AND($B382&lt;&gt;"",$C382&lt;&gt;""),IFERROR($C382*$E382,""),"")</f>
      </c>
      <c r="G382">
        <f>IF($B382&lt;&gt;"",IFERROR(IF(EXACT(LOWER($D382),LOWER(VLOOKUP($B382,Ingredients!$A$2:$C$500,2,FALSE))),"OK","CHECK UNIT"),"NOT FOUND"),"")</f>
      </c>
    </row>
    <row r="383" spans="5:7" x14ac:dyDescent="0.25">
      <c r="E383" s="2">
        <f>IF($B383&lt;&gt;"",IFERROR(VLOOKUP($B383,Ingredients!$A$2:$C$500,3,FALSE),""),"")</f>
      </c>
      <c r="F383" s="3">
        <f>IF(AND($B383&lt;&gt;"",$C383&lt;&gt;""),IFERROR($C383*$E383,""),"")</f>
      </c>
      <c r="G383">
        <f>IF($B383&lt;&gt;"",IFERROR(IF(EXACT(LOWER($D383),LOWER(VLOOKUP($B383,Ingredients!$A$2:$C$500,2,FALSE))),"OK","CHECK UNIT"),"NOT FOUND"),"")</f>
      </c>
    </row>
    <row r="384" spans="5:7" x14ac:dyDescent="0.25">
      <c r="E384" s="2">
        <f>IF($B384&lt;&gt;"",IFERROR(VLOOKUP($B384,Ingredients!$A$2:$C$500,3,FALSE),""),"")</f>
      </c>
      <c r="F384" s="3">
        <f>IF(AND($B384&lt;&gt;"",$C384&lt;&gt;""),IFERROR($C384*$E384,""),"")</f>
      </c>
      <c r="G384">
        <f>IF($B384&lt;&gt;"",IFERROR(IF(EXACT(LOWER($D384),LOWER(VLOOKUP($B384,Ingredients!$A$2:$C$500,2,FALSE))),"OK","CHECK UNIT"),"NOT FOUND"),"")</f>
      </c>
    </row>
    <row r="385" spans="5:7" x14ac:dyDescent="0.25">
      <c r="E385" s="2">
        <f>IF($B385&lt;&gt;"",IFERROR(VLOOKUP($B385,Ingredients!$A$2:$C$500,3,FALSE),""),"")</f>
      </c>
      <c r="F385" s="3">
        <f>IF(AND($B385&lt;&gt;"",$C385&lt;&gt;""),IFERROR($C385*$E385,""),"")</f>
      </c>
      <c r="G385">
        <f>IF($B385&lt;&gt;"",IFERROR(IF(EXACT(LOWER($D385),LOWER(VLOOKUP($B385,Ingredients!$A$2:$C$500,2,FALSE))),"OK","CHECK UNIT"),"NOT FOUND"),"")</f>
      </c>
    </row>
    <row r="386" spans="5:7" x14ac:dyDescent="0.25">
      <c r="E386" s="2">
        <f>IF($B386&lt;&gt;"",IFERROR(VLOOKUP($B386,Ingredients!$A$2:$C$500,3,FALSE),""),"")</f>
      </c>
      <c r="F386" s="3">
        <f>IF(AND($B386&lt;&gt;"",$C386&lt;&gt;""),IFERROR($C386*$E386,""),"")</f>
      </c>
      <c r="G386">
        <f>IF($B386&lt;&gt;"",IFERROR(IF(EXACT(LOWER($D386),LOWER(VLOOKUP($B386,Ingredients!$A$2:$C$500,2,FALSE))),"OK","CHECK UNIT"),"NOT FOUND"),"")</f>
      </c>
    </row>
    <row r="387" spans="5:7" x14ac:dyDescent="0.25">
      <c r="E387" s="2">
        <f>IF($B387&lt;&gt;"",IFERROR(VLOOKUP($B387,Ingredients!$A$2:$C$500,3,FALSE),""),"")</f>
      </c>
      <c r="F387" s="3">
        <f>IF(AND($B387&lt;&gt;"",$C387&lt;&gt;""),IFERROR($C387*$E387,""),"")</f>
      </c>
      <c r="G387">
        <f>IF($B387&lt;&gt;"",IFERROR(IF(EXACT(LOWER($D387),LOWER(VLOOKUP($B387,Ingredients!$A$2:$C$500,2,FALSE))),"OK","CHECK UNIT"),"NOT FOUND"),"")</f>
      </c>
    </row>
    <row r="388" spans="5:7" x14ac:dyDescent="0.25">
      <c r="E388" s="2">
        <f>IF($B388&lt;&gt;"",IFERROR(VLOOKUP($B388,Ingredients!$A$2:$C$500,3,FALSE),""),"")</f>
      </c>
      <c r="F388" s="3">
        <f>IF(AND($B388&lt;&gt;"",$C388&lt;&gt;""),IFERROR($C388*$E388,""),"")</f>
      </c>
      <c r="G388">
        <f>IF($B388&lt;&gt;"",IFERROR(IF(EXACT(LOWER($D388),LOWER(VLOOKUP($B388,Ingredients!$A$2:$C$500,2,FALSE))),"OK","CHECK UNIT"),"NOT FOUND"),"")</f>
      </c>
    </row>
    <row r="389" spans="5:7" x14ac:dyDescent="0.25">
      <c r="E389" s="2">
        <f>IF($B389&lt;&gt;"",IFERROR(VLOOKUP($B389,Ingredients!$A$2:$C$500,3,FALSE),""),"")</f>
      </c>
      <c r="F389" s="3">
        <f>IF(AND($B389&lt;&gt;"",$C389&lt;&gt;""),IFERROR($C389*$E389,""),"")</f>
      </c>
      <c r="G389">
        <f>IF($B389&lt;&gt;"",IFERROR(IF(EXACT(LOWER($D389),LOWER(VLOOKUP($B389,Ingredients!$A$2:$C$500,2,FALSE))),"OK","CHECK UNIT"),"NOT FOUND"),"")</f>
      </c>
    </row>
    <row r="390" spans="5:7" x14ac:dyDescent="0.25">
      <c r="E390" s="2">
        <f>IF($B390&lt;&gt;"",IFERROR(VLOOKUP($B390,Ingredients!$A$2:$C$500,3,FALSE),""),"")</f>
      </c>
      <c r="F390" s="3">
        <f>IF(AND($B390&lt;&gt;"",$C390&lt;&gt;""),IFERROR($C390*$E390,""),"")</f>
      </c>
      <c r="G390">
        <f>IF($B390&lt;&gt;"",IFERROR(IF(EXACT(LOWER($D390),LOWER(VLOOKUP($B390,Ingredients!$A$2:$C$500,2,FALSE))),"OK","CHECK UNIT"),"NOT FOUND"),"")</f>
      </c>
    </row>
    <row r="391" spans="5:7" x14ac:dyDescent="0.25">
      <c r="E391" s="2">
        <f>IF($B391&lt;&gt;"",IFERROR(VLOOKUP($B391,Ingredients!$A$2:$C$500,3,FALSE),""),"")</f>
      </c>
      <c r="F391" s="3">
        <f>IF(AND($B391&lt;&gt;"",$C391&lt;&gt;""),IFERROR($C391*$E391,""),"")</f>
      </c>
      <c r="G391">
        <f>IF($B391&lt;&gt;"",IFERROR(IF(EXACT(LOWER($D391),LOWER(VLOOKUP($B391,Ingredients!$A$2:$C$500,2,FALSE))),"OK","CHECK UNIT"),"NOT FOUND"),"")</f>
      </c>
    </row>
    <row r="392" spans="5:7" x14ac:dyDescent="0.25">
      <c r="E392" s="2">
        <f>IF($B392&lt;&gt;"",IFERROR(VLOOKUP($B392,Ingredients!$A$2:$C$500,3,FALSE),""),"")</f>
      </c>
      <c r="F392" s="3">
        <f>IF(AND($B392&lt;&gt;"",$C392&lt;&gt;""),IFERROR($C392*$E392,""),"")</f>
      </c>
      <c r="G392">
        <f>IF($B392&lt;&gt;"",IFERROR(IF(EXACT(LOWER($D392),LOWER(VLOOKUP($B392,Ingredients!$A$2:$C$500,2,FALSE))),"OK","CHECK UNIT"),"NOT FOUND"),"")</f>
      </c>
    </row>
    <row r="393" spans="5:7" x14ac:dyDescent="0.25">
      <c r="E393" s="2">
        <f>IF($B393&lt;&gt;"",IFERROR(VLOOKUP($B393,Ingredients!$A$2:$C$500,3,FALSE),""),"")</f>
      </c>
      <c r="F393" s="3">
        <f>IF(AND($B393&lt;&gt;"",$C393&lt;&gt;""),IFERROR($C393*$E393,""),"")</f>
      </c>
      <c r="G393">
        <f>IF($B393&lt;&gt;"",IFERROR(IF(EXACT(LOWER($D393),LOWER(VLOOKUP($B393,Ingredients!$A$2:$C$500,2,FALSE))),"OK","CHECK UNIT"),"NOT FOUND"),"")</f>
      </c>
    </row>
    <row r="394" spans="5:7" x14ac:dyDescent="0.25">
      <c r="E394" s="2">
        <f>IF($B394&lt;&gt;"",IFERROR(VLOOKUP($B394,Ingredients!$A$2:$C$500,3,FALSE),""),"")</f>
      </c>
      <c r="F394" s="3">
        <f>IF(AND($B394&lt;&gt;"",$C394&lt;&gt;""),IFERROR($C394*$E394,""),"")</f>
      </c>
      <c r="G394">
        <f>IF($B394&lt;&gt;"",IFERROR(IF(EXACT(LOWER($D394),LOWER(VLOOKUP($B394,Ingredients!$A$2:$C$500,2,FALSE))),"OK","CHECK UNIT"),"NOT FOUND"),"")</f>
      </c>
    </row>
    <row r="395" spans="5:7" x14ac:dyDescent="0.25">
      <c r="E395" s="2">
        <f>IF($B395&lt;&gt;"",IFERROR(VLOOKUP($B395,Ingredients!$A$2:$C$500,3,FALSE),""),"")</f>
      </c>
      <c r="F395" s="3">
        <f>IF(AND($B395&lt;&gt;"",$C395&lt;&gt;""),IFERROR($C395*$E395,""),"")</f>
      </c>
      <c r="G395">
        <f>IF($B395&lt;&gt;"",IFERROR(IF(EXACT(LOWER($D395),LOWER(VLOOKUP($B395,Ingredients!$A$2:$C$500,2,FALSE))),"OK","CHECK UNIT"),"NOT FOUND"),"")</f>
      </c>
    </row>
    <row r="396" spans="5:7" x14ac:dyDescent="0.25">
      <c r="E396" s="2">
        <f>IF($B396&lt;&gt;"",IFERROR(VLOOKUP($B396,Ingredients!$A$2:$C$500,3,FALSE),""),"")</f>
      </c>
      <c r="F396" s="3">
        <f>IF(AND($B396&lt;&gt;"",$C396&lt;&gt;""),IFERROR($C396*$E396,""),"")</f>
      </c>
      <c r="G396">
        <f>IF($B396&lt;&gt;"",IFERROR(IF(EXACT(LOWER($D396),LOWER(VLOOKUP($B396,Ingredients!$A$2:$C$500,2,FALSE))),"OK","CHECK UNIT"),"NOT FOUND"),"")</f>
      </c>
    </row>
    <row r="397" spans="5:7" x14ac:dyDescent="0.25">
      <c r="E397" s="2">
        <f>IF($B397&lt;&gt;"",IFERROR(VLOOKUP($B397,Ingredients!$A$2:$C$500,3,FALSE),""),"")</f>
      </c>
      <c r="F397" s="3">
        <f>IF(AND($B397&lt;&gt;"",$C397&lt;&gt;""),IFERROR($C397*$E397,""),"")</f>
      </c>
      <c r="G397">
        <f>IF($B397&lt;&gt;"",IFERROR(IF(EXACT(LOWER($D397),LOWER(VLOOKUP($B397,Ingredients!$A$2:$C$500,2,FALSE))),"OK","CHECK UNIT"),"NOT FOUND"),"")</f>
      </c>
    </row>
    <row r="398" spans="5:7" x14ac:dyDescent="0.25">
      <c r="E398" s="2">
        <f>IF($B398&lt;&gt;"",IFERROR(VLOOKUP($B398,Ingredients!$A$2:$C$500,3,FALSE),""),"")</f>
      </c>
      <c r="F398" s="3">
        <f>IF(AND($B398&lt;&gt;"",$C398&lt;&gt;""),IFERROR($C398*$E398,""),"")</f>
      </c>
      <c r="G398">
        <f>IF($B398&lt;&gt;"",IFERROR(IF(EXACT(LOWER($D398),LOWER(VLOOKUP($B398,Ingredients!$A$2:$C$500,2,FALSE))),"OK","CHECK UNIT"),"NOT FOUND"),"")</f>
      </c>
    </row>
    <row r="399" spans="5:7" x14ac:dyDescent="0.25">
      <c r="E399" s="2">
        <f>IF($B399&lt;&gt;"",IFERROR(VLOOKUP($B399,Ingredients!$A$2:$C$500,3,FALSE),""),"")</f>
      </c>
      <c r="F399" s="3">
        <f>IF(AND($B399&lt;&gt;"",$C399&lt;&gt;""),IFERROR($C399*$E399,""),"")</f>
      </c>
      <c r="G399">
        <f>IF($B399&lt;&gt;"",IFERROR(IF(EXACT(LOWER($D399),LOWER(VLOOKUP($B399,Ingredients!$A$2:$C$500,2,FALSE))),"OK","CHECK UNIT"),"NOT FOUND"),"")</f>
      </c>
    </row>
    <row r="400" spans="5:7" x14ac:dyDescent="0.25">
      <c r="E400" s="2">
        <f>IF($B400&lt;&gt;"",IFERROR(VLOOKUP($B400,Ingredients!$A$2:$C$500,3,FALSE),""),"")</f>
      </c>
      <c r="F400" s="3">
        <f>IF(AND($B400&lt;&gt;"",$C400&lt;&gt;""),IFERROR($C400*$E400,""),"")</f>
      </c>
      <c r="G400">
        <f>IF($B400&lt;&gt;"",IFERROR(IF(EXACT(LOWER($D400),LOWER(VLOOKUP($B400,Ingredients!$A$2:$C$500,2,FALSE))),"OK","CHECK UNIT"),"NOT FOUND"),"")</f>
      </c>
    </row>
    <row r="401" spans="5:7" x14ac:dyDescent="0.25">
      <c r="E401" s="2">
        <f>IF($B401&lt;&gt;"",IFERROR(VLOOKUP($B401,Ingredients!$A$2:$C$500,3,FALSE),""),"")</f>
      </c>
      <c r="F401" s="3">
        <f>IF(AND($B401&lt;&gt;"",$C401&lt;&gt;""),IFERROR($C401*$E401,""),"")</f>
      </c>
      <c r="G401">
        <f>IF($B401&lt;&gt;"",IFERROR(IF(EXACT(LOWER($D401),LOWER(VLOOKUP($B401,Ingredients!$A$2:$C$500,2,FALSE))),"OK","CHECK UNIT"),"NOT FOUND"),"")</f>
      </c>
    </row>
    <row r="402" spans="5:7" x14ac:dyDescent="0.25">
      <c r="E402" s="2">
        <f>IF($B402&lt;&gt;"",IFERROR(VLOOKUP($B402,Ingredients!$A$2:$C$500,3,FALSE),""),"")</f>
      </c>
      <c r="F402" s="3">
        <f>IF(AND($B402&lt;&gt;"",$C402&lt;&gt;""),IFERROR($C402*$E402,""),"")</f>
      </c>
      <c r="G402">
        <f>IF($B402&lt;&gt;"",IFERROR(IF(EXACT(LOWER($D402),LOWER(VLOOKUP($B402,Ingredients!$A$2:$C$500,2,FALSE))),"OK","CHECK UNIT"),"NOT FOUND"),"")</f>
      </c>
    </row>
    <row r="403" spans="5:7" x14ac:dyDescent="0.25">
      <c r="E403" s="2">
        <f>IF($B403&lt;&gt;"",IFERROR(VLOOKUP($B403,Ingredients!$A$2:$C$500,3,FALSE),""),"")</f>
      </c>
      <c r="F403" s="3">
        <f>IF(AND($B403&lt;&gt;"",$C403&lt;&gt;""),IFERROR($C403*$E403,""),"")</f>
      </c>
      <c r="G403">
        <f>IF($B403&lt;&gt;"",IFERROR(IF(EXACT(LOWER($D403),LOWER(VLOOKUP($B403,Ingredients!$A$2:$C$500,2,FALSE))),"OK","CHECK UNIT"),"NOT FOUND"),"")</f>
      </c>
    </row>
    <row r="404" spans="5:7" x14ac:dyDescent="0.25">
      <c r="E404" s="2">
        <f>IF($B404&lt;&gt;"",IFERROR(VLOOKUP($B404,Ingredients!$A$2:$C$500,3,FALSE),""),"")</f>
      </c>
      <c r="F404" s="3">
        <f>IF(AND($B404&lt;&gt;"",$C404&lt;&gt;""),IFERROR($C404*$E404,""),"")</f>
      </c>
      <c r="G404">
        <f>IF($B404&lt;&gt;"",IFERROR(IF(EXACT(LOWER($D404),LOWER(VLOOKUP($B404,Ingredients!$A$2:$C$500,2,FALSE))),"OK","CHECK UNIT"),"NOT FOUND"),"")</f>
      </c>
    </row>
    <row r="405" spans="5:7" x14ac:dyDescent="0.25">
      <c r="E405" s="2">
        <f>IF($B405&lt;&gt;"",IFERROR(VLOOKUP($B405,Ingredients!$A$2:$C$500,3,FALSE),""),"")</f>
      </c>
      <c r="F405" s="3">
        <f>IF(AND($B405&lt;&gt;"",$C405&lt;&gt;""),IFERROR($C405*$E405,""),"")</f>
      </c>
      <c r="G405">
        <f>IF($B405&lt;&gt;"",IFERROR(IF(EXACT(LOWER($D405),LOWER(VLOOKUP($B405,Ingredients!$A$2:$C$500,2,FALSE))),"OK","CHECK UNIT"),"NOT FOUND"),"")</f>
      </c>
    </row>
    <row r="406" spans="5:7" x14ac:dyDescent="0.25">
      <c r="E406" s="2">
        <f>IF($B406&lt;&gt;"",IFERROR(VLOOKUP($B406,Ingredients!$A$2:$C$500,3,FALSE),""),"")</f>
      </c>
      <c r="F406" s="3">
        <f>IF(AND($B406&lt;&gt;"",$C406&lt;&gt;""),IFERROR($C406*$E406,""),"")</f>
      </c>
      <c r="G406">
        <f>IF($B406&lt;&gt;"",IFERROR(IF(EXACT(LOWER($D406),LOWER(VLOOKUP($B406,Ingredients!$A$2:$C$500,2,FALSE))),"OK","CHECK UNIT"),"NOT FOUND"),"")</f>
      </c>
    </row>
    <row r="407" spans="5:7" x14ac:dyDescent="0.25">
      <c r="E407" s="2">
        <f>IF($B407&lt;&gt;"",IFERROR(VLOOKUP($B407,Ingredients!$A$2:$C$500,3,FALSE),""),"")</f>
      </c>
      <c r="F407" s="3">
        <f>IF(AND($B407&lt;&gt;"",$C407&lt;&gt;""),IFERROR($C407*$E407,""),"")</f>
      </c>
      <c r="G407">
        <f>IF($B407&lt;&gt;"",IFERROR(IF(EXACT(LOWER($D407),LOWER(VLOOKUP($B407,Ingredients!$A$2:$C$500,2,FALSE))),"OK","CHECK UNIT"),"NOT FOUND"),"")</f>
      </c>
    </row>
    <row r="408" spans="5:7" x14ac:dyDescent="0.25">
      <c r="E408" s="2">
        <f>IF($B408&lt;&gt;"",IFERROR(VLOOKUP($B408,Ingredients!$A$2:$C$500,3,FALSE),""),"")</f>
      </c>
      <c r="F408" s="3">
        <f>IF(AND($B408&lt;&gt;"",$C408&lt;&gt;""),IFERROR($C408*$E408,""),"")</f>
      </c>
      <c r="G408">
        <f>IF($B408&lt;&gt;"",IFERROR(IF(EXACT(LOWER($D408),LOWER(VLOOKUP($B408,Ingredients!$A$2:$C$500,2,FALSE))),"OK","CHECK UNIT"),"NOT FOUND"),"")</f>
      </c>
    </row>
    <row r="409" spans="5:7" x14ac:dyDescent="0.25">
      <c r="E409" s="2">
        <f>IF($B409&lt;&gt;"",IFERROR(VLOOKUP($B409,Ingredients!$A$2:$C$500,3,FALSE),""),"")</f>
      </c>
      <c r="F409" s="3">
        <f>IF(AND($B409&lt;&gt;"",$C409&lt;&gt;""),IFERROR($C409*$E409,""),"")</f>
      </c>
      <c r="G409">
        <f>IF($B409&lt;&gt;"",IFERROR(IF(EXACT(LOWER($D409),LOWER(VLOOKUP($B409,Ingredients!$A$2:$C$500,2,FALSE))),"OK","CHECK UNIT"),"NOT FOUND"),"")</f>
      </c>
    </row>
    <row r="410" spans="5:7" x14ac:dyDescent="0.25">
      <c r="E410" s="2">
        <f>IF($B410&lt;&gt;"",IFERROR(VLOOKUP($B410,Ingredients!$A$2:$C$500,3,FALSE),""),"")</f>
      </c>
      <c r="F410" s="3">
        <f>IF(AND($B410&lt;&gt;"",$C410&lt;&gt;""),IFERROR($C410*$E410,""),"")</f>
      </c>
      <c r="G410">
        <f>IF($B410&lt;&gt;"",IFERROR(IF(EXACT(LOWER($D410),LOWER(VLOOKUP($B410,Ingredients!$A$2:$C$500,2,FALSE))),"OK","CHECK UNIT"),"NOT FOUND"),"")</f>
      </c>
    </row>
    <row r="411" spans="5:7" x14ac:dyDescent="0.25">
      <c r="E411" s="2">
        <f>IF($B411&lt;&gt;"",IFERROR(VLOOKUP($B411,Ingredients!$A$2:$C$500,3,FALSE),""),"")</f>
      </c>
      <c r="F411" s="3">
        <f>IF(AND($B411&lt;&gt;"",$C411&lt;&gt;""),IFERROR($C411*$E411,""),"")</f>
      </c>
      <c r="G411">
        <f>IF($B411&lt;&gt;"",IFERROR(IF(EXACT(LOWER($D411),LOWER(VLOOKUP($B411,Ingredients!$A$2:$C$500,2,FALSE))),"OK","CHECK UNIT"),"NOT FOUND"),"")</f>
      </c>
    </row>
    <row r="412" spans="5:7" x14ac:dyDescent="0.25">
      <c r="E412" s="2">
        <f>IF($B412&lt;&gt;"",IFERROR(VLOOKUP($B412,Ingredients!$A$2:$C$500,3,FALSE),""),"")</f>
      </c>
      <c r="F412" s="3">
        <f>IF(AND($B412&lt;&gt;"",$C412&lt;&gt;""),IFERROR($C412*$E412,""),"")</f>
      </c>
      <c r="G412">
        <f>IF($B412&lt;&gt;"",IFERROR(IF(EXACT(LOWER($D412),LOWER(VLOOKUP($B412,Ingredients!$A$2:$C$500,2,FALSE))),"OK","CHECK UNIT"),"NOT FOUND"),"")</f>
      </c>
    </row>
    <row r="413" spans="5:7" x14ac:dyDescent="0.25">
      <c r="E413" s="2">
        <f>IF($B413&lt;&gt;"",IFERROR(VLOOKUP($B413,Ingredients!$A$2:$C$500,3,FALSE),""),"")</f>
      </c>
      <c r="F413" s="3">
        <f>IF(AND($B413&lt;&gt;"",$C413&lt;&gt;""),IFERROR($C413*$E413,""),"")</f>
      </c>
      <c r="G413">
        <f>IF($B413&lt;&gt;"",IFERROR(IF(EXACT(LOWER($D413),LOWER(VLOOKUP($B413,Ingredients!$A$2:$C$500,2,FALSE))),"OK","CHECK UNIT"),"NOT FOUND"),"")</f>
      </c>
    </row>
    <row r="414" spans="5:7" x14ac:dyDescent="0.25">
      <c r="E414" s="2">
        <f>IF($B414&lt;&gt;"",IFERROR(VLOOKUP($B414,Ingredients!$A$2:$C$500,3,FALSE),""),"")</f>
      </c>
      <c r="F414" s="3">
        <f>IF(AND($B414&lt;&gt;"",$C414&lt;&gt;""),IFERROR($C414*$E414,""),"")</f>
      </c>
      <c r="G414">
        <f>IF($B414&lt;&gt;"",IFERROR(IF(EXACT(LOWER($D414),LOWER(VLOOKUP($B414,Ingredients!$A$2:$C$500,2,FALSE))),"OK","CHECK UNIT"),"NOT FOUND"),"")</f>
      </c>
    </row>
    <row r="415" spans="5:7" x14ac:dyDescent="0.25">
      <c r="E415" s="2">
        <f>IF($B415&lt;&gt;"",IFERROR(VLOOKUP($B415,Ingredients!$A$2:$C$500,3,FALSE),""),"")</f>
      </c>
      <c r="F415" s="3">
        <f>IF(AND($B415&lt;&gt;"",$C415&lt;&gt;""),IFERROR($C415*$E415,""),"")</f>
      </c>
      <c r="G415">
        <f>IF($B415&lt;&gt;"",IFERROR(IF(EXACT(LOWER($D415),LOWER(VLOOKUP($B415,Ingredients!$A$2:$C$500,2,FALSE))),"OK","CHECK UNIT"),"NOT FOUND"),"")</f>
      </c>
    </row>
    <row r="416" spans="5:7" x14ac:dyDescent="0.25">
      <c r="E416" s="2">
        <f>IF($B416&lt;&gt;"",IFERROR(VLOOKUP($B416,Ingredients!$A$2:$C$500,3,FALSE),""),"")</f>
      </c>
      <c r="F416" s="3">
        <f>IF(AND($B416&lt;&gt;"",$C416&lt;&gt;""),IFERROR($C416*$E416,""),"")</f>
      </c>
      <c r="G416">
        <f>IF($B416&lt;&gt;"",IFERROR(IF(EXACT(LOWER($D416),LOWER(VLOOKUP($B416,Ingredients!$A$2:$C$500,2,FALSE))),"OK","CHECK UNIT"),"NOT FOUND"),"")</f>
      </c>
    </row>
    <row r="417" spans="5:7" x14ac:dyDescent="0.25">
      <c r="E417" s="2">
        <f>IF($B417&lt;&gt;"",IFERROR(VLOOKUP($B417,Ingredients!$A$2:$C$500,3,FALSE),""),"")</f>
      </c>
      <c r="F417" s="3">
        <f>IF(AND($B417&lt;&gt;"",$C417&lt;&gt;""),IFERROR($C417*$E417,""),"")</f>
      </c>
      <c r="G417">
        <f>IF($B417&lt;&gt;"",IFERROR(IF(EXACT(LOWER($D417),LOWER(VLOOKUP($B417,Ingredients!$A$2:$C$500,2,FALSE))),"OK","CHECK UNIT"),"NOT FOUND"),"")</f>
      </c>
    </row>
    <row r="418" spans="5:7" x14ac:dyDescent="0.25">
      <c r="E418" s="2">
        <f>IF($B418&lt;&gt;"",IFERROR(VLOOKUP($B418,Ingredients!$A$2:$C$500,3,FALSE),""),"")</f>
      </c>
      <c r="F418" s="3">
        <f>IF(AND($B418&lt;&gt;"",$C418&lt;&gt;""),IFERROR($C418*$E418,""),"")</f>
      </c>
      <c r="G418">
        <f>IF($B418&lt;&gt;"",IFERROR(IF(EXACT(LOWER($D418),LOWER(VLOOKUP($B418,Ingredients!$A$2:$C$500,2,FALSE))),"OK","CHECK UNIT"),"NOT FOUND"),"")</f>
      </c>
    </row>
    <row r="419" spans="5:7" x14ac:dyDescent="0.25">
      <c r="E419" s="2">
        <f>IF($B419&lt;&gt;"",IFERROR(VLOOKUP($B419,Ingredients!$A$2:$C$500,3,FALSE),""),"")</f>
      </c>
      <c r="F419" s="3">
        <f>IF(AND($B419&lt;&gt;"",$C419&lt;&gt;""),IFERROR($C419*$E419,""),"")</f>
      </c>
      <c r="G419">
        <f>IF($B419&lt;&gt;"",IFERROR(IF(EXACT(LOWER($D419),LOWER(VLOOKUP($B419,Ingredients!$A$2:$C$500,2,FALSE))),"OK","CHECK UNIT"),"NOT FOUND"),"")</f>
      </c>
    </row>
    <row r="420" spans="5:7" x14ac:dyDescent="0.25">
      <c r="E420" s="2">
        <f>IF($B420&lt;&gt;"",IFERROR(VLOOKUP($B420,Ingredients!$A$2:$C$500,3,FALSE),""),"")</f>
      </c>
      <c r="F420" s="3">
        <f>IF(AND($B420&lt;&gt;"",$C420&lt;&gt;""),IFERROR($C420*$E420,""),"")</f>
      </c>
      <c r="G420">
        <f>IF($B420&lt;&gt;"",IFERROR(IF(EXACT(LOWER($D420),LOWER(VLOOKUP($B420,Ingredients!$A$2:$C$500,2,FALSE))),"OK","CHECK UNIT"),"NOT FOUND"),"")</f>
      </c>
    </row>
    <row r="421" spans="5:7" x14ac:dyDescent="0.25">
      <c r="E421" s="2">
        <f>IF($B421&lt;&gt;"",IFERROR(VLOOKUP($B421,Ingredients!$A$2:$C$500,3,FALSE),""),"")</f>
      </c>
      <c r="F421" s="3">
        <f>IF(AND($B421&lt;&gt;"",$C421&lt;&gt;""),IFERROR($C421*$E421,""),"")</f>
      </c>
      <c r="G421">
        <f>IF($B421&lt;&gt;"",IFERROR(IF(EXACT(LOWER($D421),LOWER(VLOOKUP($B421,Ingredients!$A$2:$C$500,2,FALSE))),"OK","CHECK UNIT"),"NOT FOUND"),"")</f>
      </c>
    </row>
    <row r="422" spans="5:7" x14ac:dyDescent="0.25">
      <c r="E422" s="2">
        <f>IF($B422&lt;&gt;"",IFERROR(VLOOKUP($B422,Ingredients!$A$2:$C$500,3,FALSE),""),"")</f>
      </c>
      <c r="F422" s="3">
        <f>IF(AND($B422&lt;&gt;"",$C422&lt;&gt;""),IFERROR($C422*$E422,""),"")</f>
      </c>
      <c r="G422">
        <f>IF($B422&lt;&gt;"",IFERROR(IF(EXACT(LOWER($D422),LOWER(VLOOKUP($B422,Ingredients!$A$2:$C$500,2,FALSE))),"OK","CHECK UNIT"),"NOT FOUND"),"")</f>
      </c>
    </row>
    <row r="423" spans="5:7" x14ac:dyDescent="0.25">
      <c r="E423" s="2">
        <f>IF($B423&lt;&gt;"",IFERROR(VLOOKUP($B423,Ingredients!$A$2:$C$500,3,FALSE),""),"")</f>
      </c>
      <c r="F423" s="3">
        <f>IF(AND($B423&lt;&gt;"",$C423&lt;&gt;""),IFERROR($C423*$E423,""),"")</f>
      </c>
      <c r="G423">
        <f>IF($B423&lt;&gt;"",IFERROR(IF(EXACT(LOWER($D423),LOWER(VLOOKUP($B423,Ingredients!$A$2:$C$500,2,FALSE))),"OK","CHECK UNIT"),"NOT FOUND"),"")</f>
      </c>
    </row>
    <row r="424" spans="5:7" x14ac:dyDescent="0.25">
      <c r="E424" s="2">
        <f>IF($B424&lt;&gt;"",IFERROR(VLOOKUP($B424,Ingredients!$A$2:$C$500,3,FALSE),""),"")</f>
      </c>
      <c r="F424" s="3">
        <f>IF(AND($B424&lt;&gt;"",$C424&lt;&gt;""),IFERROR($C424*$E424,""),"")</f>
      </c>
      <c r="G424">
        <f>IF($B424&lt;&gt;"",IFERROR(IF(EXACT(LOWER($D424),LOWER(VLOOKUP($B424,Ingredients!$A$2:$C$500,2,FALSE))),"OK","CHECK UNIT"),"NOT FOUND"),"")</f>
      </c>
    </row>
    <row r="425" spans="5:7" x14ac:dyDescent="0.25">
      <c r="E425" s="2">
        <f>IF($B425&lt;&gt;"",IFERROR(VLOOKUP($B425,Ingredients!$A$2:$C$500,3,FALSE),""),"")</f>
      </c>
      <c r="F425" s="3">
        <f>IF(AND($B425&lt;&gt;"",$C425&lt;&gt;""),IFERROR($C425*$E425,""),"")</f>
      </c>
      <c r="G425">
        <f>IF($B425&lt;&gt;"",IFERROR(IF(EXACT(LOWER($D425),LOWER(VLOOKUP($B425,Ingredients!$A$2:$C$500,2,FALSE))),"OK","CHECK UNIT"),"NOT FOUND"),"")</f>
      </c>
    </row>
    <row r="426" spans="5:7" x14ac:dyDescent="0.25">
      <c r="E426" s="2">
        <f>IF($B426&lt;&gt;"",IFERROR(VLOOKUP($B426,Ingredients!$A$2:$C$500,3,FALSE),""),"")</f>
      </c>
      <c r="F426" s="3">
        <f>IF(AND($B426&lt;&gt;"",$C426&lt;&gt;""),IFERROR($C426*$E426,""),"")</f>
      </c>
      <c r="G426">
        <f>IF($B426&lt;&gt;"",IFERROR(IF(EXACT(LOWER($D426),LOWER(VLOOKUP($B426,Ingredients!$A$2:$C$500,2,FALSE))),"OK","CHECK UNIT"),"NOT FOUND"),"")</f>
      </c>
    </row>
    <row r="427" spans="5:7" x14ac:dyDescent="0.25">
      <c r="E427" s="2">
        <f>IF($B427&lt;&gt;"",IFERROR(VLOOKUP($B427,Ingredients!$A$2:$C$500,3,FALSE),""),"")</f>
      </c>
      <c r="F427" s="3">
        <f>IF(AND($B427&lt;&gt;"",$C427&lt;&gt;""),IFERROR($C427*$E427,""),"")</f>
      </c>
      <c r="G427">
        <f>IF($B427&lt;&gt;"",IFERROR(IF(EXACT(LOWER($D427),LOWER(VLOOKUP($B427,Ingredients!$A$2:$C$500,2,FALSE))),"OK","CHECK UNIT"),"NOT FOUND"),"")</f>
      </c>
    </row>
    <row r="428" spans="5:7" x14ac:dyDescent="0.25">
      <c r="E428" s="2">
        <f>IF($B428&lt;&gt;"",IFERROR(VLOOKUP($B428,Ingredients!$A$2:$C$500,3,FALSE),""),"")</f>
      </c>
      <c r="F428" s="3">
        <f>IF(AND($B428&lt;&gt;"",$C428&lt;&gt;""),IFERROR($C428*$E428,""),"")</f>
      </c>
      <c r="G428">
        <f>IF($B428&lt;&gt;"",IFERROR(IF(EXACT(LOWER($D428),LOWER(VLOOKUP($B428,Ingredients!$A$2:$C$500,2,FALSE))),"OK","CHECK UNIT"),"NOT FOUND"),"")</f>
      </c>
    </row>
    <row r="429" spans="5:7" x14ac:dyDescent="0.25">
      <c r="E429" s="2">
        <f>IF($B429&lt;&gt;"",IFERROR(VLOOKUP($B429,Ingredients!$A$2:$C$500,3,FALSE),""),"")</f>
      </c>
      <c r="F429" s="3">
        <f>IF(AND($B429&lt;&gt;"",$C429&lt;&gt;""),IFERROR($C429*$E429,""),"")</f>
      </c>
      <c r="G429">
        <f>IF($B429&lt;&gt;"",IFERROR(IF(EXACT(LOWER($D429),LOWER(VLOOKUP($B429,Ingredients!$A$2:$C$500,2,FALSE))),"OK","CHECK UNIT"),"NOT FOUND"),"")</f>
      </c>
    </row>
    <row r="430" spans="5:7" x14ac:dyDescent="0.25">
      <c r="E430" s="2">
        <f>IF($B430&lt;&gt;"",IFERROR(VLOOKUP($B430,Ingredients!$A$2:$C$500,3,FALSE),""),"")</f>
      </c>
      <c r="F430" s="3">
        <f>IF(AND($B430&lt;&gt;"",$C430&lt;&gt;""),IFERROR($C430*$E430,""),"")</f>
      </c>
      <c r="G430">
        <f>IF($B430&lt;&gt;"",IFERROR(IF(EXACT(LOWER($D430),LOWER(VLOOKUP($B430,Ingredients!$A$2:$C$500,2,FALSE))),"OK","CHECK UNIT"),"NOT FOUND"),"")</f>
      </c>
    </row>
    <row r="431" spans="5:7" x14ac:dyDescent="0.25">
      <c r="E431" s="2">
        <f>IF($B431&lt;&gt;"",IFERROR(VLOOKUP($B431,Ingredients!$A$2:$C$500,3,FALSE),""),"")</f>
      </c>
      <c r="F431" s="3">
        <f>IF(AND($B431&lt;&gt;"",$C431&lt;&gt;""),IFERROR($C431*$E431,""),"")</f>
      </c>
      <c r="G431">
        <f>IF($B431&lt;&gt;"",IFERROR(IF(EXACT(LOWER($D431),LOWER(VLOOKUP($B431,Ingredients!$A$2:$C$500,2,FALSE))),"OK","CHECK UNIT"),"NOT FOUND"),"")</f>
      </c>
    </row>
    <row r="432" spans="5:7" x14ac:dyDescent="0.25">
      <c r="E432" s="2">
        <f>IF($B432&lt;&gt;"",IFERROR(VLOOKUP($B432,Ingredients!$A$2:$C$500,3,FALSE),""),"")</f>
      </c>
      <c r="F432" s="3">
        <f>IF(AND($B432&lt;&gt;"",$C432&lt;&gt;""),IFERROR($C432*$E432,""),"")</f>
      </c>
      <c r="G432">
        <f>IF($B432&lt;&gt;"",IFERROR(IF(EXACT(LOWER($D432),LOWER(VLOOKUP($B432,Ingredients!$A$2:$C$500,2,FALSE))),"OK","CHECK UNIT"),"NOT FOUND"),"")</f>
      </c>
    </row>
    <row r="433" spans="5:7" x14ac:dyDescent="0.25">
      <c r="E433" s="2">
        <f>IF($B433&lt;&gt;"",IFERROR(VLOOKUP($B433,Ingredients!$A$2:$C$500,3,FALSE),""),"")</f>
      </c>
      <c r="F433" s="3">
        <f>IF(AND($B433&lt;&gt;"",$C433&lt;&gt;""),IFERROR($C433*$E433,""),"")</f>
      </c>
      <c r="G433">
        <f>IF($B433&lt;&gt;"",IFERROR(IF(EXACT(LOWER($D433),LOWER(VLOOKUP($B433,Ingredients!$A$2:$C$500,2,FALSE))),"OK","CHECK UNIT"),"NOT FOUND"),"")</f>
      </c>
    </row>
    <row r="434" spans="5:7" x14ac:dyDescent="0.25">
      <c r="E434" s="2">
        <f>IF($B434&lt;&gt;"",IFERROR(VLOOKUP($B434,Ingredients!$A$2:$C$500,3,FALSE),""),"")</f>
      </c>
      <c r="F434" s="3">
        <f>IF(AND($B434&lt;&gt;"",$C434&lt;&gt;""),IFERROR($C434*$E434,""),"")</f>
      </c>
      <c r="G434">
        <f>IF($B434&lt;&gt;"",IFERROR(IF(EXACT(LOWER($D434),LOWER(VLOOKUP($B434,Ingredients!$A$2:$C$500,2,FALSE))),"OK","CHECK UNIT"),"NOT FOUND"),"")</f>
      </c>
    </row>
    <row r="435" spans="5:7" x14ac:dyDescent="0.25">
      <c r="E435" s="2">
        <f>IF($B435&lt;&gt;"",IFERROR(VLOOKUP($B435,Ingredients!$A$2:$C$500,3,FALSE),""),"")</f>
      </c>
      <c r="F435" s="3">
        <f>IF(AND($B435&lt;&gt;"",$C435&lt;&gt;""),IFERROR($C435*$E435,""),"")</f>
      </c>
      <c r="G435">
        <f>IF($B435&lt;&gt;"",IFERROR(IF(EXACT(LOWER($D435),LOWER(VLOOKUP($B435,Ingredients!$A$2:$C$500,2,FALSE))),"OK","CHECK UNIT"),"NOT FOUND"),"")</f>
      </c>
    </row>
    <row r="436" spans="5:7" x14ac:dyDescent="0.25">
      <c r="E436" s="2">
        <f>IF($B436&lt;&gt;"",IFERROR(VLOOKUP($B436,Ingredients!$A$2:$C$500,3,FALSE),""),"")</f>
      </c>
      <c r="F436" s="3">
        <f>IF(AND($B436&lt;&gt;"",$C436&lt;&gt;""),IFERROR($C436*$E436,""),"")</f>
      </c>
      <c r="G436">
        <f>IF($B436&lt;&gt;"",IFERROR(IF(EXACT(LOWER($D436),LOWER(VLOOKUP($B436,Ingredients!$A$2:$C$500,2,FALSE))),"OK","CHECK UNIT"),"NOT FOUND"),"")</f>
      </c>
    </row>
    <row r="437" spans="5:7" x14ac:dyDescent="0.25">
      <c r="E437" s="2">
        <f>IF($B437&lt;&gt;"",IFERROR(VLOOKUP($B437,Ingredients!$A$2:$C$500,3,FALSE),""),"")</f>
      </c>
      <c r="F437" s="3">
        <f>IF(AND($B437&lt;&gt;"",$C437&lt;&gt;""),IFERROR($C437*$E437,""),"")</f>
      </c>
      <c r="G437">
        <f>IF($B437&lt;&gt;"",IFERROR(IF(EXACT(LOWER($D437),LOWER(VLOOKUP($B437,Ingredients!$A$2:$C$500,2,FALSE))),"OK","CHECK UNIT"),"NOT FOUND"),"")</f>
      </c>
    </row>
    <row r="438" spans="5:7" x14ac:dyDescent="0.25">
      <c r="E438" s="2">
        <f>IF($B438&lt;&gt;"",IFERROR(VLOOKUP($B438,Ingredients!$A$2:$C$500,3,FALSE),""),"")</f>
      </c>
      <c r="F438" s="3">
        <f>IF(AND($B438&lt;&gt;"",$C438&lt;&gt;""),IFERROR($C438*$E438,""),"")</f>
      </c>
      <c r="G438">
        <f>IF($B438&lt;&gt;"",IFERROR(IF(EXACT(LOWER($D438),LOWER(VLOOKUP($B438,Ingredients!$A$2:$C$500,2,FALSE))),"OK","CHECK UNIT"),"NOT FOUND"),"")</f>
      </c>
    </row>
    <row r="439" spans="5:7" x14ac:dyDescent="0.25">
      <c r="E439" s="2">
        <f>IF($B439&lt;&gt;"",IFERROR(VLOOKUP($B439,Ingredients!$A$2:$C$500,3,FALSE),""),"")</f>
      </c>
      <c r="F439" s="3">
        <f>IF(AND($B439&lt;&gt;"",$C439&lt;&gt;""),IFERROR($C439*$E439,""),"")</f>
      </c>
      <c r="G439">
        <f>IF($B439&lt;&gt;"",IFERROR(IF(EXACT(LOWER($D439),LOWER(VLOOKUP($B439,Ingredients!$A$2:$C$500,2,FALSE))),"OK","CHECK UNIT"),"NOT FOUND"),"")</f>
      </c>
    </row>
    <row r="440" spans="5:7" x14ac:dyDescent="0.25">
      <c r="E440" s="2">
        <f>IF($B440&lt;&gt;"",IFERROR(VLOOKUP($B440,Ingredients!$A$2:$C$500,3,FALSE),""),"")</f>
      </c>
      <c r="F440" s="3">
        <f>IF(AND($B440&lt;&gt;"",$C440&lt;&gt;""),IFERROR($C440*$E440,""),"")</f>
      </c>
      <c r="G440">
        <f>IF($B440&lt;&gt;"",IFERROR(IF(EXACT(LOWER($D440),LOWER(VLOOKUP($B440,Ingredients!$A$2:$C$500,2,FALSE))),"OK","CHECK UNIT"),"NOT FOUND"),"")</f>
      </c>
    </row>
    <row r="441" spans="5:7" x14ac:dyDescent="0.25">
      <c r="E441" s="2">
        <f>IF($B441&lt;&gt;"",IFERROR(VLOOKUP($B441,Ingredients!$A$2:$C$500,3,FALSE),""),"")</f>
      </c>
      <c r="F441" s="3">
        <f>IF(AND($B441&lt;&gt;"",$C441&lt;&gt;""),IFERROR($C441*$E441,""),"")</f>
      </c>
      <c r="G441">
        <f>IF($B441&lt;&gt;"",IFERROR(IF(EXACT(LOWER($D441),LOWER(VLOOKUP($B441,Ingredients!$A$2:$C$500,2,FALSE))),"OK","CHECK UNIT"),"NOT FOUND"),"")</f>
      </c>
    </row>
    <row r="442" spans="5:7" x14ac:dyDescent="0.25">
      <c r="E442" s="2">
        <f>IF($B442&lt;&gt;"",IFERROR(VLOOKUP($B442,Ingredients!$A$2:$C$500,3,FALSE),""),"")</f>
      </c>
      <c r="F442" s="3">
        <f>IF(AND($B442&lt;&gt;"",$C442&lt;&gt;""),IFERROR($C442*$E442,""),"")</f>
      </c>
      <c r="G442">
        <f>IF($B442&lt;&gt;"",IFERROR(IF(EXACT(LOWER($D442),LOWER(VLOOKUP($B442,Ingredients!$A$2:$C$500,2,FALSE))),"OK","CHECK UNIT"),"NOT FOUND"),"")</f>
      </c>
    </row>
    <row r="443" spans="5:7" x14ac:dyDescent="0.25">
      <c r="E443" s="2">
        <f>IF($B443&lt;&gt;"",IFERROR(VLOOKUP($B443,Ingredients!$A$2:$C$500,3,FALSE),""),"")</f>
      </c>
      <c r="F443" s="3">
        <f>IF(AND($B443&lt;&gt;"",$C443&lt;&gt;""),IFERROR($C443*$E443,""),"")</f>
      </c>
      <c r="G443">
        <f>IF($B443&lt;&gt;"",IFERROR(IF(EXACT(LOWER($D443),LOWER(VLOOKUP($B443,Ingredients!$A$2:$C$500,2,FALSE))),"OK","CHECK UNIT"),"NOT FOUND"),"")</f>
      </c>
    </row>
    <row r="444" spans="5:7" x14ac:dyDescent="0.25">
      <c r="E444" s="2">
        <f>IF($B444&lt;&gt;"",IFERROR(VLOOKUP($B444,Ingredients!$A$2:$C$500,3,FALSE),""),"")</f>
      </c>
      <c r="F444" s="3">
        <f>IF(AND($B444&lt;&gt;"",$C444&lt;&gt;""),IFERROR($C444*$E444,""),"")</f>
      </c>
      <c r="G444">
        <f>IF($B444&lt;&gt;"",IFERROR(IF(EXACT(LOWER($D444),LOWER(VLOOKUP($B444,Ingredients!$A$2:$C$500,2,FALSE))),"OK","CHECK UNIT"),"NOT FOUND"),"")</f>
      </c>
    </row>
    <row r="445" spans="5:7" x14ac:dyDescent="0.25">
      <c r="E445" s="2">
        <f>IF($B445&lt;&gt;"",IFERROR(VLOOKUP($B445,Ingredients!$A$2:$C$500,3,FALSE),""),"")</f>
      </c>
      <c r="F445" s="3">
        <f>IF(AND($B445&lt;&gt;"",$C445&lt;&gt;""),IFERROR($C445*$E445,""),"")</f>
      </c>
      <c r="G445">
        <f>IF($B445&lt;&gt;"",IFERROR(IF(EXACT(LOWER($D445),LOWER(VLOOKUP($B445,Ingredients!$A$2:$C$500,2,FALSE))),"OK","CHECK UNIT"),"NOT FOUND"),"")</f>
      </c>
    </row>
    <row r="446" spans="5:7" x14ac:dyDescent="0.25">
      <c r="E446" s="2">
        <f>IF($B446&lt;&gt;"",IFERROR(VLOOKUP($B446,Ingredients!$A$2:$C$500,3,FALSE),""),"")</f>
      </c>
      <c r="F446" s="3">
        <f>IF(AND($B446&lt;&gt;"",$C446&lt;&gt;""),IFERROR($C446*$E446,""),"")</f>
      </c>
      <c r="G446">
        <f>IF($B446&lt;&gt;"",IFERROR(IF(EXACT(LOWER($D446),LOWER(VLOOKUP($B446,Ingredients!$A$2:$C$500,2,FALSE))),"OK","CHECK UNIT"),"NOT FOUND"),"")</f>
      </c>
    </row>
    <row r="447" spans="5:7" x14ac:dyDescent="0.25">
      <c r="E447" s="2">
        <f>IF($B447&lt;&gt;"",IFERROR(VLOOKUP($B447,Ingredients!$A$2:$C$500,3,FALSE),""),"")</f>
      </c>
      <c r="F447" s="3">
        <f>IF(AND($B447&lt;&gt;"",$C447&lt;&gt;""),IFERROR($C447*$E447,""),"")</f>
      </c>
      <c r="G447">
        <f>IF($B447&lt;&gt;"",IFERROR(IF(EXACT(LOWER($D447),LOWER(VLOOKUP($B447,Ingredients!$A$2:$C$500,2,FALSE))),"OK","CHECK UNIT"),"NOT FOUND"),"")</f>
      </c>
    </row>
    <row r="448" spans="5:7" x14ac:dyDescent="0.25">
      <c r="E448" s="2">
        <f>IF($B448&lt;&gt;"",IFERROR(VLOOKUP($B448,Ingredients!$A$2:$C$500,3,FALSE),""),"")</f>
      </c>
      <c r="F448" s="3">
        <f>IF(AND($B448&lt;&gt;"",$C448&lt;&gt;""),IFERROR($C448*$E448,""),"")</f>
      </c>
      <c r="G448">
        <f>IF($B448&lt;&gt;"",IFERROR(IF(EXACT(LOWER($D448),LOWER(VLOOKUP($B448,Ingredients!$A$2:$C$500,2,FALSE))),"OK","CHECK UNIT"),"NOT FOUND"),"")</f>
      </c>
    </row>
    <row r="449" spans="5:7" x14ac:dyDescent="0.25">
      <c r="E449" s="2">
        <f>IF($B449&lt;&gt;"",IFERROR(VLOOKUP($B449,Ingredients!$A$2:$C$500,3,FALSE),""),"")</f>
      </c>
      <c r="F449" s="3">
        <f>IF(AND($B449&lt;&gt;"",$C449&lt;&gt;""),IFERROR($C449*$E449,""),"")</f>
      </c>
      <c r="G449">
        <f>IF($B449&lt;&gt;"",IFERROR(IF(EXACT(LOWER($D449),LOWER(VLOOKUP($B449,Ingredients!$A$2:$C$500,2,FALSE))),"OK","CHECK UNIT"),"NOT FOUND"),"")</f>
      </c>
    </row>
    <row r="450" spans="5:7" x14ac:dyDescent="0.25">
      <c r="E450" s="2">
        <f>IF($B450&lt;&gt;"",IFERROR(VLOOKUP($B450,Ingredients!$A$2:$C$500,3,FALSE),""),"")</f>
      </c>
      <c r="F450" s="3">
        <f>IF(AND($B450&lt;&gt;"",$C450&lt;&gt;""),IFERROR($C450*$E450,""),"")</f>
      </c>
      <c r="G450">
        <f>IF($B450&lt;&gt;"",IFERROR(IF(EXACT(LOWER($D450),LOWER(VLOOKUP($B450,Ingredients!$A$2:$C$500,2,FALSE))),"OK","CHECK UNIT"),"NOT FOUND"),"")</f>
      </c>
    </row>
    <row r="451" spans="5:7" x14ac:dyDescent="0.25">
      <c r="E451" s="2">
        <f>IF($B451&lt;&gt;"",IFERROR(VLOOKUP($B451,Ingredients!$A$2:$C$500,3,FALSE),""),"")</f>
      </c>
      <c r="F451" s="3">
        <f>IF(AND($B451&lt;&gt;"",$C451&lt;&gt;""),IFERROR($C451*$E451,""),"")</f>
      </c>
      <c r="G451">
        <f>IF($B451&lt;&gt;"",IFERROR(IF(EXACT(LOWER($D451),LOWER(VLOOKUP($B451,Ingredients!$A$2:$C$500,2,FALSE))),"OK","CHECK UNIT"),"NOT FOUND"),"")</f>
      </c>
    </row>
    <row r="452" spans="5:7" x14ac:dyDescent="0.25">
      <c r="E452" s="2">
        <f>IF($B452&lt;&gt;"",IFERROR(VLOOKUP($B452,Ingredients!$A$2:$C$500,3,FALSE),""),"")</f>
      </c>
      <c r="F452" s="3">
        <f>IF(AND($B452&lt;&gt;"",$C452&lt;&gt;""),IFERROR($C452*$E452,""),"")</f>
      </c>
      <c r="G452">
        <f>IF($B452&lt;&gt;"",IFERROR(IF(EXACT(LOWER($D452),LOWER(VLOOKUP($B452,Ingredients!$A$2:$C$500,2,FALSE))),"OK","CHECK UNIT"),"NOT FOUND"),"")</f>
      </c>
    </row>
    <row r="453" spans="5:7" x14ac:dyDescent="0.25">
      <c r="E453" s="2">
        <f>IF($B453&lt;&gt;"",IFERROR(VLOOKUP($B453,Ingredients!$A$2:$C$500,3,FALSE),""),"")</f>
      </c>
      <c r="F453" s="3">
        <f>IF(AND($B453&lt;&gt;"",$C453&lt;&gt;""),IFERROR($C453*$E453,""),"")</f>
      </c>
      <c r="G453">
        <f>IF($B453&lt;&gt;"",IFERROR(IF(EXACT(LOWER($D453),LOWER(VLOOKUP($B453,Ingredients!$A$2:$C$500,2,FALSE))),"OK","CHECK UNIT"),"NOT FOUND"),"")</f>
      </c>
    </row>
    <row r="454" spans="5:7" x14ac:dyDescent="0.25">
      <c r="E454" s="2">
        <f>IF($B454&lt;&gt;"",IFERROR(VLOOKUP($B454,Ingredients!$A$2:$C$500,3,FALSE),""),"")</f>
      </c>
      <c r="F454" s="3">
        <f>IF(AND($B454&lt;&gt;"",$C454&lt;&gt;""),IFERROR($C454*$E454,""),"")</f>
      </c>
      <c r="G454">
        <f>IF($B454&lt;&gt;"",IFERROR(IF(EXACT(LOWER($D454),LOWER(VLOOKUP($B454,Ingredients!$A$2:$C$500,2,FALSE))),"OK","CHECK UNIT"),"NOT FOUND"),"")</f>
      </c>
    </row>
    <row r="455" spans="5:7" x14ac:dyDescent="0.25">
      <c r="E455" s="2">
        <f>IF($B455&lt;&gt;"",IFERROR(VLOOKUP($B455,Ingredients!$A$2:$C$500,3,FALSE),""),"")</f>
      </c>
      <c r="F455" s="3">
        <f>IF(AND($B455&lt;&gt;"",$C455&lt;&gt;""),IFERROR($C455*$E455,""),"")</f>
      </c>
      <c r="G455">
        <f>IF($B455&lt;&gt;"",IFERROR(IF(EXACT(LOWER($D455),LOWER(VLOOKUP($B455,Ingredients!$A$2:$C$500,2,FALSE))),"OK","CHECK UNIT"),"NOT FOUND"),"")</f>
      </c>
    </row>
    <row r="456" spans="5:7" x14ac:dyDescent="0.25">
      <c r="E456" s="2">
        <f>IF($B456&lt;&gt;"",IFERROR(VLOOKUP($B456,Ingredients!$A$2:$C$500,3,FALSE),""),"")</f>
      </c>
      <c r="F456" s="3">
        <f>IF(AND($B456&lt;&gt;"",$C456&lt;&gt;""),IFERROR($C456*$E456,""),"")</f>
      </c>
      <c r="G456">
        <f>IF($B456&lt;&gt;"",IFERROR(IF(EXACT(LOWER($D456),LOWER(VLOOKUP($B456,Ingredients!$A$2:$C$500,2,FALSE))),"OK","CHECK UNIT"),"NOT FOUND"),"")</f>
      </c>
    </row>
    <row r="457" spans="5:7" x14ac:dyDescent="0.25">
      <c r="E457" s="2">
        <f>IF($B457&lt;&gt;"",IFERROR(VLOOKUP($B457,Ingredients!$A$2:$C$500,3,FALSE),""),"")</f>
      </c>
      <c r="F457" s="3">
        <f>IF(AND($B457&lt;&gt;"",$C457&lt;&gt;""),IFERROR($C457*$E457,""),"")</f>
      </c>
      <c r="G457">
        <f>IF($B457&lt;&gt;"",IFERROR(IF(EXACT(LOWER($D457),LOWER(VLOOKUP($B457,Ingredients!$A$2:$C$500,2,FALSE))),"OK","CHECK UNIT"),"NOT FOUND"),"")</f>
      </c>
    </row>
    <row r="458" spans="5:7" x14ac:dyDescent="0.25">
      <c r="E458" s="2">
        <f>IF($B458&lt;&gt;"",IFERROR(VLOOKUP($B458,Ingredients!$A$2:$C$500,3,FALSE),""),"")</f>
      </c>
      <c r="F458" s="3">
        <f>IF(AND($B458&lt;&gt;"",$C458&lt;&gt;""),IFERROR($C458*$E458,""),"")</f>
      </c>
      <c r="G458">
        <f>IF($B458&lt;&gt;"",IFERROR(IF(EXACT(LOWER($D458),LOWER(VLOOKUP($B458,Ingredients!$A$2:$C$500,2,FALSE))),"OK","CHECK UNIT"),"NOT FOUND"),"")</f>
      </c>
    </row>
    <row r="459" spans="5:7" x14ac:dyDescent="0.25">
      <c r="E459" s="2">
        <f>IF($B459&lt;&gt;"",IFERROR(VLOOKUP($B459,Ingredients!$A$2:$C$500,3,FALSE),""),"")</f>
      </c>
      <c r="F459" s="3">
        <f>IF(AND($B459&lt;&gt;"",$C459&lt;&gt;""),IFERROR($C459*$E459,""),"")</f>
      </c>
      <c r="G459">
        <f>IF($B459&lt;&gt;"",IFERROR(IF(EXACT(LOWER($D459),LOWER(VLOOKUP($B459,Ingredients!$A$2:$C$500,2,FALSE))),"OK","CHECK UNIT"),"NOT FOUND"),"")</f>
      </c>
    </row>
    <row r="460" spans="5:7" x14ac:dyDescent="0.25">
      <c r="E460" s="2">
        <f>IF($B460&lt;&gt;"",IFERROR(VLOOKUP($B460,Ingredients!$A$2:$C$500,3,FALSE),""),"")</f>
      </c>
      <c r="F460" s="3">
        <f>IF(AND($B460&lt;&gt;"",$C460&lt;&gt;""),IFERROR($C460*$E460,""),"")</f>
      </c>
      <c r="G460">
        <f>IF($B460&lt;&gt;"",IFERROR(IF(EXACT(LOWER($D460),LOWER(VLOOKUP($B460,Ingredients!$A$2:$C$500,2,FALSE))),"OK","CHECK UNIT"),"NOT FOUND"),"")</f>
      </c>
    </row>
    <row r="461" spans="5:7" x14ac:dyDescent="0.25">
      <c r="E461" s="2">
        <f>IF($B461&lt;&gt;"",IFERROR(VLOOKUP($B461,Ingredients!$A$2:$C$500,3,FALSE),""),"")</f>
      </c>
      <c r="F461" s="3">
        <f>IF(AND($B461&lt;&gt;"",$C461&lt;&gt;""),IFERROR($C461*$E461,""),"")</f>
      </c>
      <c r="G461">
        <f>IF($B461&lt;&gt;"",IFERROR(IF(EXACT(LOWER($D461),LOWER(VLOOKUP($B461,Ingredients!$A$2:$C$500,2,FALSE))),"OK","CHECK UNIT"),"NOT FOUND"),"")</f>
      </c>
    </row>
    <row r="462" spans="5:7" x14ac:dyDescent="0.25">
      <c r="E462" s="2">
        <f>IF($B462&lt;&gt;"",IFERROR(VLOOKUP($B462,Ingredients!$A$2:$C$500,3,FALSE),""),"")</f>
      </c>
      <c r="F462" s="3">
        <f>IF(AND($B462&lt;&gt;"",$C462&lt;&gt;""),IFERROR($C462*$E462,""),"")</f>
      </c>
      <c r="G462">
        <f>IF($B462&lt;&gt;"",IFERROR(IF(EXACT(LOWER($D462),LOWER(VLOOKUP($B462,Ingredients!$A$2:$C$500,2,FALSE))),"OK","CHECK UNIT"),"NOT FOUND"),"")</f>
      </c>
    </row>
    <row r="463" spans="5:7" x14ac:dyDescent="0.25">
      <c r="E463" s="2">
        <f>IF($B463&lt;&gt;"",IFERROR(VLOOKUP($B463,Ingredients!$A$2:$C$500,3,FALSE),""),"")</f>
      </c>
      <c r="F463" s="3">
        <f>IF(AND($B463&lt;&gt;"",$C463&lt;&gt;""),IFERROR($C463*$E463,""),"")</f>
      </c>
      <c r="G463">
        <f>IF($B463&lt;&gt;"",IFERROR(IF(EXACT(LOWER($D463),LOWER(VLOOKUP($B463,Ingredients!$A$2:$C$500,2,FALSE))),"OK","CHECK UNIT"),"NOT FOUND"),"")</f>
      </c>
    </row>
    <row r="464" spans="5:7" x14ac:dyDescent="0.25">
      <c r="E464" s="2">
        <f>IF($B464&lt;&gt;"",IFERROR(VLOOKUP($B464,Ingredients!$A$2:$C$500,3,FALSE),""),"")</f>
      </c>
      <c r="F464" s="3">
        <f>IF(AND($B464&lt;&gt;"",$C464&lt;&gt;""),IFERROR($C464*$E464,""),"")</f>
      </c>
      <c r="G464">
        <f>IF($B464&lt;&gt;"",IFERROR(IF(EXACT(LOWER($D464),LOWER(VLOOKUP($B464,Ingredients!$A$2:$C$500,2,FALSE))),"OK","CHECK UNIT"),"NOT FOUND"),"")</f>
      </c>
    </row>
    <row r="465" spans="5:7" x14ac:dyDescent="0.25">
      <c r="E465" s="2">
        <f>IF($B465&lt;&gt;"",IFERROR(VLOOKUP($B465,Ingredients!$A$2:$C$500,3,FALSE),""),"")</f>
      </c>
      <c r="F465" s="3">
        <f>IF(AND($B465&lt;&gt;"",$C465&lt;&gt;""),IFERROR($C465*$E465,""),"")</f>
      </c>
      <c r="G465">
        <f>IF($B465&lt;&gt;"",IFERROR(IF(EXACT(LOWER($D465),LOWER(VLOOKUP($B465,Ingredients!$A$2:$C$500,2,FALSE))),"OK","CHECK UNIT"),"NOT FOUND"),"")</f>
      </c>
    </row>
    <row r="466" spans="5:7" x14ac:dyDescent="0.25">
      <c r="E466" s="2">
        <f>IF($B466&lt;&gt;"",IFERROR(VLOOKUP($B466,Ingredients!$A$2:$C$500,3,FALSE),""),"")</f>
      </c>
      <c r="F466" s="3">
        <f>IF(AND($B466&lt;&gt;"",$C466&lt;&gt;""),IFERROR($C466*$E466,""),"")</f>
      </c>
      <c r="G466">
        <f>IF($B466&lt;&gt;"",IFERROR(IF(EXACT(LOWER($D466),LOWER(VLOOKUP($B466,Ingredients!$A$2:$C$500,2,FALSE))),"OK","CHECK UNIT"),"NOT FOUND"),"")</f>
      </c>
    </row>
    <row r="467" spans="5:7" x14ac:dyDescent="0.25">
      <c r="E467" s="2">
        <f>IF($B467&lt;&gt;"",IFERROR(VLOOKUP($B467,Ingredients!$A$2:$C$500,3,FALSE),""),"")</f>
      </c>
      <c r="F467" s="3">
        <f>IF(AND($B467&lt;&gt;"",$C467&lt;&gt;""),IFERROR($C467*$E467,""),"")</f>
      </c>
      <c r="G467">
        <f>IF($B467&lt;&gt;"",IFERROR(IF(EXACT(LOWER($D467),LOWER(VLOOKUP($B467,Ingredients!$A$2:$C$500,2,FALSE))),"OK","CHECK UNIT"),"NOT FOUND"),"")</f>
      </c>
    </row>
    <row r="468" spans="5:7" x14ac:dyDescent="0.25">
      <c r="E468" s="2">
        <f>IF($B468&lt;&gt;"",IFERROR(VLOOKUP($B468,Ingredients!$A$2:$C$500,3,FALSE),""),"")</f>
      </c>
      <c r="F468" s="3">
        <f>IF(AND($B468&lt;&gt;"",$C468&lt;&gt;""),IFERROR($C468*$E468,""),"")</f>
      </c>
      <c r="G468">
        <f>IF($B468&lt;&gt;"",IFERROR(IF(EXACT(LOWER($D468),LOWER(VLOOKUP($B468,Ingredients!$A$2:$C$500,2,FALSE))),"OK","CHECK UNIT"),"NOT FOUND"),"")</f>
      </c>
    </row>
    <row r="469" spans="5:7" x14ac:dyDescent="0.25">
      <c r="E469" s="2">
        <f>IF($B469&lt;&gt;"",IFERROR(VLOOKUP($B469,Ingredients!$A$2:$C$500,3,FALSE),""),"")</f>
      </c>
      <c r="F469" s="3">
        <f>IF(AND($B469&lt;&gt;"",$C469&lt;&gt;""),IFERROR($C469*$E469,""),"")</f>
      </c>
      <c r="G469">
        <f>IF($B469&lt;&gt;"",IFERROR(IF(EXACT(LOWER($D469),LOWER(VLOOKUP($B469,Ingredients!$A$2:$C$500,2,FALSE))),"OK","CHECK UNIT"),"NOT FOUND"),"")</f>
      </c>
    </row>
    <row r="470" spans="5:7" x14ac:dyDescent="0.25">
      <c r="E470" s="2">
        <f>IF($B470&lt;&gt;"",IFERROR(VLOOKUP($B470,Ingredients!$A$2:$C$500,3,FALSE),""),"")</f>
      </c>
      <c r="F470" s="3">
        <f>IF(AND($B470&lt;&gt;"",$C470&lt;&gt;""),IFERROR($C470*$E470,""),"")</f>
      </c>
      <c r="G470">
        <f>IF($B470&lt;&gt;"",IFERROR(IF(EXACT(LOWER($D470),LOWER(VLOOKUP($B470,Ingredients!$A$2:$C$500,2,FALSE))),"OK","CHECK UNIT"),"NOT FOUND"),"")</f>
      </c>
    </row>
    <row r="471" spans="5:7" x14ac:dyDescent="0.25">
      <c r="E471" s="2">
        <f>IF($B471&lt;&gt;"",IFERROR(VLOOKUP($B471,Ingredients!$A$2:$C$500,3,FALSE),""),"")</f>
      </c>
      <c r="F471" s="3">
        <f>IF(AND($B471&lt;&gt;"",$C471&lt;&gt;""),IFERROR($C471*$E471,""),"")</f>
      </c>
      <c r="G471">
        <f>IF($B471&lt;&gt;"",IFERROR(IF(EXACT(LOWER($D471),LOWER(VLOOKUP($B471,Ingredients!$A$2:$C$500,2,FALSE))),"OK","CHECK UNIT"),"NOT FOUND"),"")</f>
      </c>
    </row>
    <row r="472" spans="5:7" x14ac:dyDescent="0.25">
      <c r="E472" s="2">
        <f>IF($B472&lt;&gt;"",IFERROR(VLOOKUP($B472,Ingredients!$A$2:$C$500,3,FALSE),""),"")</f>
      </c>
      <c r="F472" s="3">
        <f>IF(AND($B472&lt;&gt;"",$C472&lt;&gt;""),IFERROR($C472*$E472,""),"")</f>
      </c>
      <c r="G472">
        <f>IF($B472&lt;&gt;"",IFERROR(IF(EXACT(LOWER($D472),LOWER(VLOOKUP($B472,Ingredients!$A$2:$C$500,2,FALSE))),"OK","CHECK UNIT"),"NOT FOUND"),"")</f>
      </c>
    </row>
    <row r="473" spans="5:7" x14ac:dyDescent="0.25">
      <c r="E473" s="2">
        <f>IF($B473&lt;&gt;"",IFERROR(VLOOKUP($B473,Ingredients!$A$2:$C$500,3,FALSE),""),"")</f>
      </c>
      <c r="F473" s="3">
        <f>IF(AND($B473&lt;&gt;"",$C473&lt;&gt;""),IFERROR($C473*$E473,""),"")</f>
      </c>
      <c r="G473">
        <f>IF($B473&lt;&gt;"",IFERROR(IF(EXACT(LOWER($D473),LOWER(VLOOKUP($B473,Ingredients!$A$2:$C$500,2,FALSE))),"OK","CHECK UNIT"),"NOT FOUND"),"")</f>
      </c>
    </row>
    <row r="474" spans="5:7" x14ac:dyDescent="0.25">
      <c r="E474" s="2">
        <f>IF($B474&lt;&gt;"",IFERROR(VLOOKUP($B474,Ingredients!$A$2:$C$500,3,FALSE),""),"")</f>
      </c>
      <c r="F474" s="3">
        <f>IF(AND($B474&lt;&gt;"",$C474&lt;&gt;""),IFERROR($C474*$E474,""),"")</f>
      </c>
      <c r="G474">
        <f>IF($B474&lt;&gt;"",IFERROR(IF(EXACT(LOWER($D474),LOWER(VLOOKUP($B474,Ingredients!$A$2:$C$500,2,FALSE))),"OK","CHECK UNIT"),"NOT FOUND"),"")</f>
      </c>
    </row>
    <row r="475" spans="5:7" x14ac:dyDescent="0.25">
      <c r="E475" s="2">
        <f>IF($B475&lt;&gt;"",IFERROR(VLOOKUP($B475,Ingredients!$A$2:$C$500,3,FALSE),""),"")</f>
      </c>
      <c r="F475" s="3">
        <f>IF(AND($B475&lt;&gt;"",$C475&lt;&gt;""),IFERROR($C475*$E475,""),"")</f>
      </c>
      <c r="G475">
        <f>IF($B475&lt;&gt;"",IFERROR(IF(EXACT(LOWER($D475),LOWER(VLOOKUP($B475,Ingredients!$A$2:$C$500,2,FALSE))),"OK","CHECK UNIT"),"NOT FOUND"),"")</f>
      </c>
    </row>
    <row r="476" spans="5:7" x14ac:dyDescent="0.25">
      <c r="E476" s="2">
        <f>IF($B476&lt;&gt;"",IFERROR(VLOOKUP($B476,Ingredients!$A$2:$C$500,3,FALSE),""),"")</f>
      </c>
      <c r="F476" s="3">
        <f>IF(AND($B476&lt;&gt;"",$C476&lt;&gt;""),IFERROR($C476*$E476,""),"")</f>
      </c>
      <c r="G476">
        <f>IF($B476&lt;&gt;"",IFERROR(IF(EXACT(LOWER($D476),LOWER(VLOOKUP($B476,Ingredients!$A$2:$C$500,2,FALSE))),"OK","CHECK UNIT"),"NOT FOUND"),"")</f>
      </c>
    </row>
    <row r="477" spans="5:7" x14ac:dyDescent="0.25">
      <c r="E477" s="2">
        <f>IF($B477&lt;&gt;"",IFERROR(VLOOKUP($B477,Ingredients!$A$2:$C$500,3,FALSE),""),"")</f>
      </c>
      <c r="F477" s="3">
        <f>IF(AND($B477&lt;&gt;"",$C477&lt;&gt;""),IFERROR($C477*$E477,""),"")</f>
      </c>
      <c r="G477">
        <f>IF($B477&lt;&gt;"",IFERROR(IF(EXACT(LOWER($D477),LOWER(VLOOKUP($B477,Ingredients!$A$2:$C$500,2,FALSE))),"OK","CHECK UNIT"),"NOT FOUND"),"")</f>
      </c>
    </row>
    <row r="478" spans="5:7" x14ac:dyDescent="0.25">
      <c r="E478" s="2">
        <f>IF($B478&lt;&gt;"",IFERROR(VLOOKUP($B478,Ingredients!$A$2:$C$500,3,FALSE),""),"")</f>
      </c>
      <c r="F478" s="3">
        <f>IF(AND($B478&lt;&gt;"",$C478&lt;&gt;""),IFERROR($C478*$E478,""),"")</f>
      </c>
      <c r="G478">
        <f>IF($B478&lt;&gt;"",IFERROR(IF(EXACT(LOWER($D478),LOWER(VLOOKUP($B478,Ingredients!$A$2:$C$500,2,FALSE))),"OK","CHECK UNIT"),"NOT FOUND"),"")</f>
      </c>
    </row>
    <row r="479" spans="5:7" x14ac:dyDescent="0.25">
      <c r="E479" s="2">
        <f>IF($B479&lt;&gt;"",IFERROR(VLOOKUP($B479,Ingredients!$A$2:$C$500,3,FALSE),""),"")</f>
      </c>
      <c r="F479" s="3">
        <f>IF(AND($B479&lt;&gt;"",$C479&lt;&gt;""),IFERROR($C479*$E479,""),"")</f>
      </c>
      <c r="G479">
        <f>IF($B479&lt;&gt;"",IFERROR(IF(EXACT(LOWER($D479),LOWER(VLOOKUP($B479,Ingredients!$A$2:$C$500,2,FALSE))),"OK","CHECK UNIT"),"NOT FOUND"),"")</f>
      </c>
    </row>
    <row r="480" spans="5:7" x14ac:dyDescent="0.25">
      <c r="E480" s="2">
        <f>IF($B480&lt;&gt;"",IFERROR(VLOOKUP($B480,Ingredients!$A$2:$C$500,3,FALSE),""),"")</f>
      </c>
      <c r="F480" s="3">
        <f>IF(AND($B480&lt;&gt;"",$C480&lt;&gt;""),IFERROR($C480*$E480,""),"")</f>
      </c>
      <c r="G480">
        <f>IF($B480&lt;&gt;"",IFERROR(IF(EXACT(LOWER($D480),LOWER(VLOOKUP($B480,Ingredients!$A$2:$C$500,2,FALSE))),"OK","CHECK UNIT"),"NOT FOUND"),"")</f>
      </c>
    </row>
    <row r="481" spans="5:7" x14ac:dyDescent="0.25">
      <c r="E481" s="2">
        <f>IF($B481&lt;&gt;"",IFERROR(VLOOKUP($B481,Ingredients!$A$2:$C$500,3,FALSE),""),"")</f>
      </c>
      <c r="F481" s="3">
        <f>IF(AND($B481&lt;&gt;"",$C481&lt;&gt;""),IFERROR($C481*$E481,""),"")</f>
      </c>
      <c r="G481">
        <f>IF($B481&lt;&gt;"",IFERROR(IF(EXACT(LOWER($D481),LOWER(VLOOKUP($B481,Ingredients!$A$2:$C$500,2,FALSE))),"OK","CHECK UNIT"),"NOT FOUND"),"")</f>
      </c>
    </row>
    <row r="482" spans="5:7" x14ac:dyDescent="0.25">
      <c r="E482" s="2">
        <f>IF($B482&lt;&gt;"",IFERROR(VLOOKUP($B482,Ingredients!$A$2:$C$500,3,FALSE),""),"")</f>
      </c>
      <c r="F482" s="3">
        <f>IF(AND($B482&lt;&gt;"",$C482&lt;&gt;""),IFERROR($C482*$E482,""),"")</f>
      </c>
      <c r="G482">
        <f>IF($B482&lt;&gt;"",IFERROR(IF(EXACT(LOWER($D482),LOWER(VLOOKUP($B482,Ingredients!$A$2:$C$500,2,FALSE))),"OK","CHECK UNIT"),"NOT FOUND"),"")</f>
      </c>
    </row>
    <row r="483" spans="5:7" x14ac:dyDescent="0.25">
      <c r="E483" s="2">
        <f>IF($B483&lt;&gt;"",IFERROR(VLOOKUP($B483,Ingredients!$A$2:$C$500,3,FALSE),""),"")</f>
      </c>
      <c r="F483" s="3">
        <f>IF(AND($B483&lt;&gt;"",$C483&lt;&gt;""),IFERROR($C483*$E483,""),"")</f>
      </c>
      <c r="G483">
        <f>IF($B483&lt;&gt;"",IFERROR(IF(EXACT(LOWER($D483),LOWER(VLOOKUP($B483,Ingredients!$A$2:$C$500,2,FALSE))),"OK","CHECK UNIT"),"NOT FOUND"),"")</f>
      </c>
    </row>
    <row r="484" spans="5:7" x14ac:dyDescent="0.25">
      <c r="E484" s="2">
        <f>IF($B484&lt;&gt;"",IFERROR(VLOOKUP($B484,Ingredients!$A$2:$C$500,3,FALSE),""),"")</f>
      </c>
      <c r="F484" s="3">
        <f>IF(AND($B484&lt;&gt;"",$C484&lt;&gt;""),IFERROR($C484*$E484,""),"")</f>
      </c>
      <c r="G484">
        <f>IF($B484&lt;&gt;"",IFERROR(IF(EXACT(LOWER($D484),LOWER(VLOOKUP($B484,Ingredients!$A$2:$C$500,2,FALSE))),"OK","CHECK UNIT"),"NOT FOUND"),"")</f>
      </c>
    </row>
    <row r="485" spans="5:7" x14ac:dyDescent="0.25">
      <c r="E485" s="2">
        <f>IF($B485&lt;&gt;"",IFERROR(VLOOKUP($B485,Ingredients!$A$2:$C$500,3,FALSE),""),"")</f>
      </c>
      <c r="F485" s="3">
        <f>IF(AND($B485&lt;&gt;"",$C485&lt;&gt;""),IFERROR($C485*$E485,""),"")</f>
      </c>
      <c r="G485">
        <f>IF($B485&lt;&gt;"",IFERROR(IF(EXACT(LOWER($D485),LOWER(VLOOKUP($B485,Ingredients!$A$2:$C$500,2,FALSE))),"OK","CHECK UNIT"),"NOT FOUND"),"")</f>
      </c>
    </row>
    <row r="486" spans="5:7" x14ac:dyDescent="0.25">
      <c r="E486" s="2">
        <f>IF($B486&lt;&gt;"",IFERROR(VLOOKUP($B486,Ingredients!$A$2:$C$500,3,FALSE),""),"")</f>
      </c>
      <c r="F486" s="3">
        <f>IF(AND($B486&lt;&gt;"",$C486&lt;&gt;""),IFERROR($C486*$E486,""),"")</f>
      </c>
      <c r="G486">
        <f>IF($B486&lt;&gt;"",IFERROR(IF(EXACT(LOWER($D486),LOWER(VLOOKUP($B486,Ingredients!$A$2:$C$500,2,FALSE))),"OK","CHECK UNIT"),"NOT FOUND"),"")</f>
      </c>
    </row>
    <row r="487" spans="5:7" x14ac:dyDescent="0.25">
      <c r="E487" s="2">
        <f>IF($B487&lt;&gt;"",IFERROR(VLOOKUP($B487,Ingredients!$A$2:$C$500,3,FALSE),""),"")</f>
      </c>
      <c r="F487" s="3">
        <f>IF(AND($B487&lt;&gt;"",$C487&lt;&gt;""),IFERROR($C487*$E487,""),"")</f>
      </c>
      <c r="G487">
        <f>IF($B487&lt;&gt;"",IFERROR(IF(EXACT(LOWER($D487),LOWER(VLOOKUP($B487,Ingredients!$A$2:$C$500,2,FALSE))),"OK","CHECK UNIT"),"NOT FOUND"),"")</f>
      </c>
    </row>
    <row r="488" spans="5:7" x14ac:dyDescent="0.25">
      <c r="E488" s="2">
        <f>IF($B488&lt;&gt;"",IFERROR(VLOOKUP($B488,Ingredients!$A$2:$C$500,3,FALSE),""),"")</f>
      </c>
      <c r="F488" s="3">
        <f>IF(AND($B488&lt;&gt;"",$C488&lt;&gt;""),IFERROR($C488*$E488,""),"")</f>
      </c>
      <c r="G488">
        <f>IF($B488&lt;&gt;"",IFERROR(IF(EXACT(LOWER($D488),LOWER(VLOOKUP($B488,Ingredients!$A$2:$C$500,2,FALSE))),"OK","CHECK UNIT"),"NOT FOUND"),"")</f>
      </c>
    </row>
    <row r="489" spans="5:7" x14ac:dyDescent="0.25">
      <c r="E489" s="2">
        <f>IF($B489&lt;&gt;"",IFERROR(VLOOKUP($B489,Ingredients!$A$2:$C$500,3,FALSE),""),"")</f>
      </c>
      <c r="F489" s="3">
        <f>IF(AND($B489&lt;&gt;"",$C489&lt;&gt;""),IFERROR($C489*$E489,""),"")</f>
      </c>
      <c r="G489">
        <f>IF($B489&lt;&gt;"",IFERROR(IF(EXACT(LOWER($D489),LOWER(VLOOKUP($B489,Ingredients!$A$2:$C$500,2,FALSE))),"OK","CHECK UNIT"),"NOT FOUND"),"")</f>
      </c>
    </row>
    <row r="490" spans="5:7" x14ac:dyDescent="0.25">
      <c r="E490" s="2">
        <f>IF($B490&lt;&gt;"",IFERROR(VLOOKUP($B490,Ingredients!$A$2:$C$500,3,FALSE),""),"")</f>
      </c>
      <c r="F490" s="3">
        <f>IF(AND($B490&lt;&gt;"",$C490&lt;&gt;""),IFERROR($C490*$E490,""),"")</f>
      </c>
      <c r="G490">
        <f>IF($B490&lt;&gt;"",IFERROR(IF(EXACT(LOWER($D490),LOWER(VLOOKUP($B490,Ingredients!$A$2:$C$500,2,FALSE))),"OK","CHECK UNIT"),"NOT FOUND"),"")</f>
      </c>
    </row>
    <row r="491" spans="5:7" x14ac:dyDescent="0.25">
      <c r="E491" s="2">
        <f>IF($B491&lt;&gt;"",IFERROR(VLOOKUP($B491,Ingredients!$A$2:$C$500,3,FALSE),""),"")</f>
      </c>
      <c r="F491" s="3">
        <f>IF(AND($B491&lt;&gt;"",$C491&lt;&gt;""),IFERROR($C491*$E491,""),"")</f>
      </c>
      <c r="G491">
        <f>IF($B491&lt;&gt;"",IFERROR(IF(EXACT(LOWER($D491),LOWER(VLOOKUP($B491,Ingredients!$A$2:$C$500,2,FALSE))),"OK","CHECK UNIT"),"NOT FOUND"),"")</f>
      </c>
    </row>
    <row r="492" spans="5:7" x14ac:dyDescent="0.25">
      <c r="E492" s="2">
        <f>IF($B492&lt;&gt;"",IFERROR(VLOOKUP($B492,Ingredients!$A$2:$C$500,3,FALSE),""),"")</f>
      </c>
      <c r="F492" s="3">
        <f>IF(AND($B492&lt;&gt;"",$C492&lt;&gt;""),IFERROR($C492*$E492,""),"")</f>
      </c>
      <c r="G492">
        <f>IF($B492&lt;&gt;"",IFERROR(IF(EXACT(LOWER($D492),LOWER(VLOOKUP($B492,Ingredients!$A$2:$C$500,2,FALSE))),"OK","CHECK UNIT"),"NOT FOUND"),"")</f>
      </c>
    </row>
    <row r="493" spans="5:7" x14ac:dyDescent="0.25">
      <c r="E493" s="2">
        <f>IF($B493&lt;&gt;"",IFERROR(VLOOKUP($B493,Ingredients!$A$2:$C$500,3,FALSE),""),"")</f>
      </c>
      <c r="F493" s="3">
        <f>IF(AND($B493&lt;&gt;"",$C493&lt;&gt;""),IFERROR($C493*$E493,""),"")</f>
      </c>
      <c r="G493">
        <f>IF($B493&lt;&gt;"",IFERROR(IF(EXACT(LOWER($D493),LOWER(VLOOKUP($B493,Ingredients!$A$2:$C$500,2,FALSE))),"OK","CHECK UNIT"),"NOT FOUND"),"")</f>
      </c>
    </row>
    <row r="494" spans="5:7" x14ac:dyDescent="0.25">
      <c r="E494" s="2">
        <f>IF($B494&lt;&gt;"",IFERROR(VLOOKUP($B494,Ingredients!$A$2:$C$500,3,FALSE),""),"")</f>
      </c>
      <c r="F494" s="3">
        <f>IF(AND($B494&lt;&gt;"",$C494&lt;&gt;""),IFERROR($C494*$E494,""),"")</f>
      </c>
      <c r="G494">
        <f>IF($B494&lt;&gt;"",IFERROR(IF(EXACT(LOWER($D494),LOWER(VLOOKUP($B494,Ingredients!$A$2:$C$500,2,FALSE))),"OK","CHECK UNIT"),"NOT FOUND"),"")</f>
      </c>
    </row>
    <row r="495" spans="5:7" x14ac:dyDescent="0.25">
      <c r="E495" s="2">
        <f>IF($B495&lt;&gt;"",IFERROR(VLOOKUP($B495,Ingredients!$A$2:$C$500,3,FALSE),""),"")</f>
      </c>
      <c r="F495" s="3">
        <f>IF(AND($B495&lt;&gt;"",$C495&lt;&gt;""),IFERROR($C495*$E495,""),"")</f>
      </c>
      <c r="G495">
        <f>IF($B495&lt;&gt;"",IFERROR(IF(EXACT(LOWER($D495),LOWER(VLOOKUP($B495,Ingredients!$A$2:$C$500,2,FALSE))),"OK","CHECK UNIT"),"NOT FOUND"),"")</f>
      </c>
    </row>
    <row r="496" spans="5:7" x14ac:dyDescent="0.25">
      <c r="E496" s="2">
        <f>IF($B496&lt;&gt;"",IFERROR(VLOOKUP($B496,Ingredients!$A$2:$C$500,3,FALSE),""),"")</f>
      </c>
      <c r="F496" s="3">
        <f>IF(AND($B496&lt;&gt;"",$C496&lt;&gt;""),IFERROR($C496*$E496,""),"")</f>
      </c>
      <c r="G496">
        <f>IF($B496&lt;&gt;"",IFERROR(IF(EXACT(LOWER($D496),LOWER(VLOOKUP($B496,Ingredients!$A$2:$C$500,2,FALSE))),"OK","CHECK UNIT"),"NOT FOUND"),"")</f>
      </c>
    </row>
    <row r="497" spans="5:7" x14ac:dyDescent="0.25">
      <c r="E497" s="2">
        <f>IF($B497&lt;&gt;"",IFERROR(VLOOKUP($B497,Ingredients!$A$2:$C$500,3,FALSE),""),"")</f>
      </c>
      <c r="F497" s="3">
        <f>IF(AND($B497&lt;&gt;"",$C497&lt;&gt;""),IFERROR($C497*$E497,""),"")</f>
      </c>
      <c r="G497">
        <f>IF($B497&lt;&gt;"",IFERROR(IF(EXACT(LOWER($D497),LOWER(VLOOKUP($B497,Ingredients!$A$2:$C$500,2,FALSE))),"OK","CHECK UNIT"),"NOT FOUND"),"")</f>
      </c>
    </row>
    <row r="498" spans="5:7" x14ac:dyDescent="0.25">
      <c r="E498" s="2">
        <f>IF($B498&lt;&gt;"",IFERROR(VLOOKUP($B498,Ingredients!$A$2:$C$500,3,FALSE),""),"")</f>
      </c>
      <c r="F498" s="3">
        <f>IF(AND($B498&lt;&gt;"",$C498&lt;&gt;""),IFERROR($C498*$E498,""),"")</f>
      </c>
      <c r="G498">
        <f>IF($B498&lt;&gt;"",IFERROR(IF(EXACT(LOWER($D498),LOWER(VLOOKUP($B498,Ingredients!$A$2:$C$500,2,FALSE))),"OK","CHECK UNIT"),"NOT FOUND"),"")</f>
      </c>
    </row>
    <row r="499" spans="5:7" x14ac:dyDescent="0.25">
      <c r="E499" s="2">
        <f>IF($B499&lt;&gt;"",IFERROR(VLOOKUP($B499,Ingredients!$A$2:$C$500,3,FALSE),""),"")</f>
      </c>
      <c r="F499" s="3">
        <f>IF(AND($B499&lt;&gt;"",$C499&lt;&gt;""),IFERROR($C499*$E499,""),"")</f>
      </c>
      <c r="G499">
        <f>IF($B499&lt;&gt;"",IFERROR(IF(EXACT(LOWER($D499),LOWER(VLOOKUP($B499,Ingredients!$A$2:$C$500,2,FALSE))),"OK","CHECK UNIT"),"NOT FOUND"),"")</f>
      </c>
    </row>
    <row r="500" spans="5:7" x14ac:dyDescent="0.25">
      <c r="E500" s="2">
        <f>IF($B500&lt;&gt;"",IFERROR(VLOOKUP($B500,Ingredients!$A$2:$C$500,3,FALSE),""),"")</f>
      </c>
      <c r="F500" s="3">
        <f>IF(AND($B500&lt;&gt;"",$C500&lt;&gt;""),IFERROR($C500*$E500,""),"")</f>
      </c>
      <c r="G500">
        <f>IF($B500&lt;&gt;"",IFERROR(IF(EXACT(LOWER($D500),LOWER(VLOOKUP($B500,Ingredients!$A$2:$C$500,2,FALSE))),"OK","CHECK UNIT"),"NOT FOUND"),"")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style="2" customWidth="1"/>
  </cols>
  <sheetData>
    <row r="1" spans="1:3" s="4" customFormat="1" x14ac:dyDescent="0.25">
      <c r="A1" s="4" t="s">
        <v>1</v>
      </c>
      <c r="B1" s="4" t="s">
        <v>13</v>
      </c>
      <c r="C1" s="5" t="s">
        <v>14</v>
      </c>
    </row>
    <row r="2" spans="1:3" x14ac:dyDescent="0.25">
      <c r="A2" t="s">
        <v>8</v>
      </c>
      <c r="B2" t="s">
        <v>9</v>
      </c>
      <c r="C2" s="2">
        <v>0.175</v>
      </c>
    </row>
    <row r="3" spans="1:3" x14ac:dyDescent="0.25">
      <c r="A3" t="s">
        <v>10</v>
      </c>
      <c r="B3" t="s">
        <v>11</v>
      </c>
      <c r="C3" s="2">
        <v>38</v>
      </c>
    </row>
    <row r="4" spans="1:3" x14ac:dyDescent="0.25">
      <c r="A4" t="s">
        <v>12</v>
      </c>
      <c r="B4" t="s">
        <v>11</v>
      </c>
      <c r="C4" s="2">
        <v>45</v>
      </c>
    </row>
    <row r="5" spans="1:3" x14ac:dyDescent="0.25">
      <c r="A5" t="s">
        <v>15</v>
      </c>
      <c r="B5" t="s">
        <v>9</v>
      </c>
      <c r="C5" s="2">
        <v>0.44018018</v>
      </c>
    </row>
    <row r="6" spans="1:3" x14ac:dyDescent="0.25">
      <c r="A6" t="s">
        <v>16</v>
      </c>
      <c r="B6" t="s">
        <v>11</v>
      </c>
      <c r="C6" s="2">
        <v>25</v>
      </c>
    </row>
    <row r="7" spans="1:3" x14ac:dyDescent="0.25">
      <c r="A7" t="s">
        <v>17</v>
      </c>
      <c r="B7" t="s">
        <v>18</v>
      </c>
      <c r="C7" s="2">
        <v>0.42</v>
      </c>
    </row>
    <row r="8" spans="1:3" x14ac:dyDescent="0.25">
      <c r="A8" t="s">
        <v>19</v>
      </c>
      <c r="B8" t="s">
        <v>11</v>
      </c>
      <c r="C8" s="2">
        <v>3.2</v>
      </c>
    </row>
    <row r="9" spans="1:3" x14ac:dyDescent="0.25">
      <c r="A9" t="s">
        <v>20</v>
      </c>
      <c r="B9" t="s">
        <v>11</v>
      </c>
      <c r="C9" s="2">
        <v>3.8</v>
      </c>
    </row>
    <row r="10" spans="1:3" x14ac:dyDescent="0.25">
      <c r="A10" t="s">
        <v>21</v>
      </c>
      <c r="B10" t="s">
        <v>11</v>
      </c>
      <c r="C10" s="2">
        <v>4.5</v>
      </c>
    </row>
    <row r="11" spans="1:3" x14ac:dyDescent="0.25">
      <c r="A11" t="s">
        <v>22</v>
      </c>
      <c r="B11" t="s">
        <v>18</v>
      </c>
      <c r="C11" s="2">
        <v>0.85</v>
      </c>
    </row>
    <row r="12" spans="1:3" x14ac:dyDescent="0.25">
      <c r="A12" t="s">
        <v>23</v>
      </c>
      <c r="B12" t="s">
        <v>9</v>
      </c>
      <c r="C12" s="2">
        <v>0.095</v>
      </c>
    </row>
    <row r="13" spans="1:3" x14ac:dyDescent="0.25">
      <c r="A13" t="s">
        <v>24</v>
      </c>
      <c r="B13" t="s">
        <v>9</v>
      </c>
      <c r="C13" s="2">
        <v>0.4</v>
      </c>
    </row>
    <row r="14" spans="1:3" x14ac:dyDescent="0.25">
      <c r="A14" t="s">
        <v>25</v>
      </c>
      <c r="B14" t="s">
        <v>18</v>
      </c>
      <c r="C14" s="2">
        <v>0.006</v>
      </c>
    </row>
    <row r="15" spans="1:3" x14ac:dyDescent="0.25">
      <c r="A15" t="s">
        <v>26</v>
      </c>
      <c r="B15" t="s">
        <v>11</v>
      </c>
      <c r="C15" s="2">
        <v>1.5</v>
      </c>
    </row>
    <row r="16" spans="1:3" x14ac:dyDescent="0.25">
      <c r="A16" t="s">
        <v>27</v>
      </c>
      <c r="B16" t="s">
        <v>18</v>
      </c>
      <c r="C16" s="2">
        <v>1.36</v>
      </c>
    </row>
    <row r="17" spans="1:3" x14ac:dyDescent="0.25">
      <c r="A17" t="s">
        <v>28</v>
      </c>
      <c r="B17" t="s">
        <v>9</v>
      </c>
      <c r="C17" s="2">
        <v>0.185</v>
      </c>
    </row>
    <row r="18" spans="1:3" x14ac:dyDescent="0.25">
      <c r="A18" t="s">
        <v>29</v>
      </c>
      <c r="B18" t="s">
        <v>9</v>
      </c>
      <c r="C18" s="2">
        <v>0.145</v>
      </c>
    </row>
    <row r="19" spans="1:3" x14ac:dyDescent="0.25">
      <c r="A19" t="s">
        <v>30</v>
      </c>
      <c r="B19" t="s">
        <v>11</v>
      </c>
      <c r="C19" s="2">
        <v>0.8</v>
      </c>
    </row>
    <row r="20" spans="1:3" x14ac:dyDescent="0.25">
      <c r="A20" t="s">
        <v>31</v>
      </c>
      <c r="B20" t="s">
        <v>9</v>
      </c>
      <c r="C20" s="2">
        <v>0.12</v>
      </c>
    </row>
    <row r="21" spans="1:3" x14ac:dyDescent="0.25">
      <c r="A21" t="s">
        <v>32</v>
      </c>
      <c r="B21" t="s">
        <v>9</v>
      </c>
      <c r="C21" s="2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Recipes</vt:lpstr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2026-08-31T00:08:46Z</dcterms:created>
  <dcterms:modified xsi:type="dcterms:W3CDTF">2026-08-31T00:08:46Z</dcterms:modified>
</cp:coreProperties>
</file>